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et's_Work\005\"/>
    </mc:Choice>
  </mc:AlternateContent>
  <bookViews>
    <workbookView xWindow="0" yWindow="0" windowWidth="15345" windowHeight="3855" activeTab="3"/>
  </bookViews>
  <sheets>
    <sheet name="Sheet1" sheetId="1" r:id="rId1"/>
    <sheet name="Sheet2" sheetId="2" r:id="rId2"/>
    <sheet name="Sheet3" sheetId="3" r:id="rId3"/>
    <sheet name="FINAL_PRACTICLE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" i="4" l="1"/>
  <c r="R3" i="4"/>
  <c r="R4" i="4"/>
  <c r="R5" i="4"/>
  <c r="R6" i="4"/>
  <c r="R7" i="4"/>
  <c r="O2" i="4"/>
  <c r="O3" i="4"/>
  <c r="O4" i="4"/>
  <c r="O5" i="4"/>
  <c r="O6" i="4"/>
  <c r="O7" i="4"/>
  <c r="L2" i="4"/>
  <c r="M2" i="4" s="1"/>
  <c r="L3" i="4"/>
  <c r="M3" i="4" s="1"/>
  <c r="L4" i="4"/>
  <c r="M4" i="4" s="1"/>
  <c r="L5" i="4"/>
  <c r="M5" i="4" s="1"/>
  <c r="L6" i="4"/>
  <c r="M6" i="4" s="1"/>
  <c r="L7" i="4"/>
  <c r="M7" i="4" s="1"/>
  <c r="B3" i="3"/>
  <c r="B4" i="3"/>
  <c r="B5" i="3"/>
  <c r="B6" i="3"/>
  <c r="B2" i="3"/>
  <c r="C3" i="2"/>
  <c r="C4" i="2"/>
  <c r="C5" i="2"/>
  <c r="C2" i="2"/>
  <c r="B3" i="1"/>
  <c r="B4" i="1"/>
  <c r="B5" i="1"/>
  <c r="B6" i="1"/>
  <c r="B7" i="1"/>
  <c r="B8" i="1"/>
  <c r="B9" i="1"/>
  <c r="B2" i="1"/>
</calcChain>
</file>

<file path=xl/sharedStrings.xml><?xml version="1.0" encoding="utf-8"?>
<sst xmlns="http://schemas.openxmlformats.org/spreadsheetml/2006/main" count="96" uniqueCount="44">
  <si>
    <t>Kenya</t>
  </si>
  <si>
    <t>kenya</t>
  </si>
  <si>
    <t>KENYA</t>
  </si>
  <si>
    <t xml:space="preserve"> Kenya</t>
  </si>
  <si>
    <t xml:space="preserve">Kenya </t>
  </si>
  <si>
    <t>Nigeria</t>
  </si>
  <si>
    <t>NIGERIA</t>
  </si>
  <si>
    <t xml:space="preserve"> nigeria</t>
  </si>
  <si>
    <t>Country</t>
  </si>
  <si>
    <t>Updated Country Names</t>
  </si>
  <si>
    <t>Sales</t>
  </si>
  <si>
    <t>What Excel sees</t>
  </si>
  <si>
    <t>Number</t>
  </si>
  <si>
    <t>'75000</t>
  </si>
  <si>
    <t>Text</t>
  </si>
  <si>
    <t>"60000"</t>
  </si>
  <si>
    <t>Check</t>
  </si>
  <si>
    <t>Date</t>
  </si>
  <si>
    <t>ISNUMBER</t>
  </si>
  <si>
    <t>Customer</t>
  </si>
  <si>
    <t>C001</t>
  </si>
  <si>
    <t>C002</t>
  </si>
  <si>
    <t>Blank</t>
  </si>
  <si>
    <t>C003</t>
  </si>
  <si>
    <t>C004</t>
  </si>
  <si>
    <t>" "</t>
  </si>
  <si>
    <t>C005</t>
  </si>
  <si>
    <t>N/A</t>
  </si>
  <si>
    <t>Transaction ID</t>
  </si>
  <si>
    <t>Customer ID</t>
  </si>
  <si>
    <t>Status</t>
  </si>
  <si>
    <t>T001</t>
  </si>
  <si>
    <t>Won</t>
  </si>
  <si>
    <t>T002</t>
  </si>
  <si>
    <t>nigeria</t>
  </si>
  <si>
    <t>T003</t>
  </si>
  <si>
    <t>T004</t>
  </si>
  <si>
    <t>Lost</t>
  </si>
  <si>
    <t>T005</t>
  </si>
  <si>
    <t>T006</t>
  </si>
  <si>
    <t>Tanzania</t>
  </si>
  <si>
    <t xml:space="preserve">Updated_Country </t>
  </si>
  <si>
    <t>Length</t>
  </si>
  <si>
    <t>ISNUMBER2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</si>
</sst>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right" vertical="center"/>
    </xf>
    <xf numFmtId="1" fontId="0" fillId="0" borderId="0" xfId="0" applyNumberFormat="1"/>
    <xf numFmtId="0" fontId="1" fillId="0" borderId="0" xfId="0" applyNumberFormat="1" applyFont="1" applyAlignment="1">
      <alignment horizontal="right" vertical="center"/>
    </xf>
    <xf numFmtId="0" fontId="0" fillId="0" borderId="0" xfId="0" applyNumberFormat="1" applyAlignment="1">
      <alignment horizontal="right" vertical="center"/>
    </xf>
    <xf numFmtId="0" fontId="2" fillId="0" borderId="0" xfId="0" applyNumberFormat="1" applyFont="1" applyAlignment="1">
      <alignment horizontal="right" vertical="center"/>
    </xf>
    <xf numFmtId="0" fontId="0" fillId="0" borderId="0" xfId="0" applyNumberFormat="1"/>
    <xf numFmtId="14" fontId="0" fillId="0" borderId="0" xfId="0" applyNumberFormat="1"/>
    <xf numFmtId="15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  <xf numFmtId="15" fontId="2" fillId="0" borderId="0" xfId="0" applyNumberFormat="1" applyFont="1" applyAlignment="1">
      <alignment vertical="center"/>
    </xf>
    <xf numFmtId="14" fontId="1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vertical="center"/>
    </xf>
    <xf numFmtId="14" fontId="0" fillId="0" borderId="0" xfId="0" applyNumberFormat="1" applyAlignment="1"/>
    <xf numFmtId="3" fontId="0" fillId="0" borderId="0" xfId="0" applyNumberFormat="1" applyAlignment="1">
      <alignment horizontal="right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17">
    <dxf>
      <numFmt numFmtId="19" formatCode="dd/mm/yyyy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</dxf>
    <dxf>
      <numFmt numFmtId="0" formatCode="General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Raw_table" displayName="Raw_table" ref="A1:F7" totalsRowShown="0" headerRowDxfId="11" dataDxfId="12">
  <tableColumns count="6">
    <tableColumn id="1" name="Transaction ID" dataDxfId="16"/>
    <tableColumn id="2" name="Customer ID" dataDxfId="15"/>
    <tableColumn id="3" name="Country" dataDxfId="14"/>
    <tableColumn id="4" name="Sales"/>
    <tableColumn id="5" name="Status" dataDxfId="13"/>
    <tableColumn id="6" name="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oper_table" displayName="Proper_table" ref="I1:R7" totalsRowShown="0" headerRowDxfId="10" dataDxfId="9">
  <tableColumns count="10">
    <tableColumn id="1" name="Transaction ID" dataDxfId="8"/>
    <tableColumn id="2" name="Customer ID" dataDxfId="7"/>
    <tableColumn id="3" name="Country" dataDxfId="4"/>
    <tableColumn id="8" name="Updated_Country " dataDxfId="5">
      <calculatedColumnFormula>PROPER(Proper_table[[#This Row],[Country]])</calculatedColumnFormula>
    </tableColumn>
    <tableColumn id="9" name="Length" dataDxfId="3">
      <calculatedColumnFormula>LEN(Proper_table[[#This Row],[Updated_Country ]])</calculatedColumnFormula>
    </tableColumn>
    <tableColumn id="4" name="Sales"/>
    <tableColumn id="10" name="ISNUMBER" dataDxfId="2">
      <calculatedColumnFormula>ISNUMBER(Proper_table[[#This Row],[Sales]])</calculatedColumnFormula>
    </tableColumn>
    <tableColumn id="5" name="Status" dataDxfId="6"/>
    <tableColumn id="6" name="Date" dataDxfId="0"/>
    <tableColumn id="11" name="ISNUMBER2" dataDxfId="1">
      <calculatedColumnFormula>ISNUMBER(Proper_table[[#This Row],[Date]])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B2" sqref="B2"/>
    </sheetView>
  </sheetViews>
  <sheetFormatPr defaultRowHeight="15"/>
  <cols>
    <col min="1" max="1" width="8.28515625" bestFit="1" customWidth="1"/>
    <col min="2" max="2" width="23" bestFit="1" customWidth="1"/>
  </cols>
  <sheetData>
    <row r="1" spans="1:2">
      <c r="A1" s="1" t="s">
        <v>8</v>
      </c>
      <c r="B1" s="1" t="s">
        <v>9</v>
      </c>
    </row>
    <row r="2" spans="1:2">
      <c r="A2" t="s">
        <v>0</v>
      </c>
      <c r="B2" t="str">
        <f>PROPER(TRIM(A2))</f>
        <v>Kenya</v>
      </c>
    </row>
    <row r="3" spans="1:2">
      <c r="A3" t="s">
        <v>1</v>
      </c>
      <c r="B3" t="str">
        <f t="shared" ref="B3:B9" si="0">PROPER(TRIM(A3))</f>
        <v>Kenya</v>
      </c>
    </row>
    <row r="4" spans="1:2">
      <c r="A4" t="s">
        <v>2</v>
      </c>
      <c r="B4" t="str">
        <f t="shared" si="0"/>
        <v>Kenya</v>
      </c>
    </row>
    <row r="5" spans="1:2">
      <c r="A5" t="s">
        <v>3</v>
      </c>
      <c r="B5" t="str">
        <f t="shared" si="0"/>
        <v>Kenya</v>
      </c>
    </row>
    <row r="6" spans="1:2">
      <c r="A6" t="s">
        <v>4</v>
      </c>
      <c r="B6" t="str">
        <f t="shared" si="0"/>
        <v>Kenya</v>
      </c>
    </row>
    <row r="7" spans="1:2">
      <c r="A7" t="s">
        <v>5</v>
      </c>
      <c r="B7" t="str">
        <f t="shared" si="0"/>
        <v>Nigeria</v>
      </c>
    </row>
    <row r="8" spans="1:2">
      <c r="A8" t="s">
        <v>6</v>
      </c>
      <c r="B8" t="str">
        <f t="shared" si="0"/>
        <v>Nigeria</v>
      </c>
    </row>
    <row r="9" spans="1:2">
      <c r="A9" t="s">
        <v>7</v>
      </c>
      <c r="B9" t="str">
        <f t="shared" si="0"/>
        <v>Nigeria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G13" sqref="G13"/>
    </sheetView>
  </sheetViews>
  <sheetFormatPr defaultRowHeight="15"/>
  <cols>
    <col min="1" max="1" width="11.5703125" style="11" bestFit="1" customWidth="1"/>
    <col min="2" max="2" width="15.42578125" bestFit="1" customWidth="1"/>
    <col min="4" max="4" width="9.140625" style="7"/>
  </cols>
  <sheetData>
    <row r="1" spans="1:3">
      <c r="A1" s="8" t="s">
        <v>10</v>
      </c>
      <c r="B1" s="3" t="s">
        <v>11</v>
      </c>
      <c r="C1" s="1" t="s">
        <v>16</v>
      </c>
    </row>
    <row r="2" spans="1:3">
      <c r="A2" s="9">
        <v>50000</v>
      </c>
      <c r="B2" s="5" t="s">
        <v>12</v>
      </c>
      <c r="C2" t="b">
        <f>ISNUMBER(A2)</f>
        <v>1</v>
      </c>
    </row>
    <row r="3" spans="1:3">
      <c r="A3" s="10" t="s">
        <v>13</v>
      </c>
      <c r="B3" s="5" t="s">
        <v>14</v>
      </c>
      <c r="C3" t="b">
        <f t="shared" ref="C3:C5" si="0">ISNUMBER(A3)</f>
        <v>0</v>
      </c>
    </row>
    <row r="4" spans="1:3">
      <c r="A4" s="10" t="s">
        <v>15</v>
      </c>
      <c r="B4" s="5" t="s">
        <v>14</v>
      </c>
      <c r="C4" t="b">
        <f t="shared" si="0"/>
        <v>0</v>
      </c>
    </row>
    <row r="5" spans="1:3">
      <c r="A5" s="9">
        <v>45000</v>
      </c>
      <c r="B5" s="5" t="s">
        <v>12</v>
      </c>
      <c r="C5" t="b">
        <f t="shared" si="0"/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J4" sqref="J4"/>
    </sheetView>
  </sheetViews>
  <sheetFormatPr defaultRowHeight="15"/>
  <cols>
    <col min="1" max="1" width="11.7109375" style="19" bestFit="1" customWidth="1"/>
    <col min="2" max="2" width="10.28515625" bestFit="1" customWidth="1"/>
    <col min="5" max="5" width="9.5703125" bestFit="1" customWidth="1"/>
    <col min="6" max="6" width="6.5703125" bestFit="1" customWidth="1"/>
  </cols>
  <sheetData>
    <row r="1" spans="1:7">
      <c r="A1" s="17" t="s">
        <v>17</v>
      </c>
      <c r="B1" t="s">
        <v>18</v>
      </c>
      <c r="E1" s="3" t="s">
        <v>19</v>
      </c>
      <c r="F1" s="2" t="s">
        <v>10</v>
      </c>
      <c r="G1" t="s">
        <v>10</v>
      </c>
    </row>
    <row r="2" spans="1:7">
      <c r="A2" s="14">
        <v>46381</v>
      </c>
      <c r="B2" t="b">
        <f>ISNUMBER(A2)</f>
        <v>1</v>
      </c>
      <c r="E2" s="5" t="s">
        <v>20</v>
      </c>
      <c r="F2" s="20">
        <v>50000</v>
      </c>
    </row>
    <row r="3" spans="1:7">
      <c r="A3" s="14">
        <v>46381</v>
      </c>
      <c r="B3" t="b">
        <f t="shared" ref="B3:B6" si="0">ISNUMBER(A3)</f>
        <v>1</v>
      </c>
      <c r="E3" s="5" t="s">
        <v>21</v>
      </c>
      <c r="F3" s="2" t="s">
        <v>22</v>
      </c>
    </row>
    <row r="4" spans="1:7">
      <c r="A4" s="14">
        <v>46381</v>
      </c>
      <c r="B4" t="b">
        <f t="shared" si="0"/>
        <v>1</v>
      </c>
      <c r="E4" s="5" t="s">
        <v>23</v>
      </c>
      <c r="F4" s="4">
        <v>0</v>
      </c>
    </row>
    <row r="5" spans="1:7">
      <c r="A5" s="14">
        <v>46381</v>
      </c>
      <c r="B5" t="b">
        <f t="shared" si="0"/>
        <v>1</v>
      </c>
      <c r="E5" s="5" t="s">
        <v>24</v>
      </c>
      <c r="F5" s="2" t="s">
        <v>25</v>
      </c>
    </row>
    <row r="6" spans="1:7">
      <c r="A6" s="18">
        <v>46381</v>
      </c>
      <c r="B6" t="b">
        <f t="shared" si="0"/>
        <v>1</v>
      </c>
      <c r="E6" s="5" t="s">
        <v>26</v>
      </c>
      <c r="F6" s="2" t="s">
        <v>27</v>
      </c>
    </row>
  </sheetData>
  <dataValidations count="1">
    <dataValidation type="whole" allowBlank="1" showInputMessage="1" showErrorMessage="1" sqref="F1:F1048576">
      <formula1>0</formula1>
      <formula2>100000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Views>
    <sheetView tabSelected="1" workbookViewId="0">
      <selection activeCell="M11" sqref="M11"/>
    </sheetView>
  </sheetViews>
  <sheetFormatPr defaultRowHeight="15"/>
  <cols>
    <col min="1" max="1" width="15.5703125" customWidth="1"/>
    <col min="2" max="2" width="14" customWidth="1"/>
    <col min="3" max="3" width="10.140625" customWidth="1"/>
    <col min="4" max="4" width="7.7109375" customWidth="1"/>
    <col min="5" max="5" width="8.5703125" customWidth="1"/>
    <col min="6" max="6" width="10.42578125" bestFit="1" customWidth="1"/>
    <col min="9" max="9" width="13.5703125" bestFit="1" customWidth="1"/>
    <col min="10" max="10" width="11.85546875" bestFit="1" customWidth="1"/>
    <col min="11" max="11" width="8.7109375" bestFit="1" customWidth="1"/>
    <col min="12" max="12" width="17.42578125" bestFit="1" customWidth="1"/>
    <col min="13" max="13" width="7" bestFit="1" customWidth="1"/>
    <col min="14" max="14" width="7.42578125" bestFit="1" customWidth="1"/>
    <col min="15" max="15" width="10.5703125" bestFit="1" customWidth="1"/>
    <col min="16" max="16" width="6.42578125" bestFit="1" customWidth="1"/>
    <col min="17" max="17" width="10.42578125" style="12" bestFit="1" customWidth="1"/>
  </cols>
  <sheetData>
    <row r="1" spans="1:18">
      <c r="A1" s="3" t="s">
        <v>28</v>
      </c>
      <c r="B1" s="3" t="s">
        <v>29</v>
      </c>
      <c r="C1" s="3" t="s">
        <v>8</v>
      </c>
      <c r="D1" s="2" t="s">
        <v>10</v>
      </c>
      <c r="E1" s="3" t="s">
        <v>30</v>
      </c>
      <c r="F1" s="3" t="s">
        <v>17</v>
      </c>
      <c r="I1" s="3" t="s">
        <v>28</v>
      </c>
      <c r="J1" s="3" t="s">
        <v>29</v>
      </c>
      <c r="K1" s="3" t="s">
        <v>8</v>
      </c>
      <c r="L1" s="3" t="s">
        <v>41</v>
      </c>
      <c r="M1" s="3" t="s">
        <v>42</v>
      </c>
      <c r="N1" s="2" t="s">
        <v>10</v>
      </c>
      <c r="O1" s="2" t="s">
        <v>18</v>
      </c>
      <c r="P1" s="3" t="s">
        <v>30</v>
      </c>
      <c r="Q1" s="17" t="s">
        <v>17</v>
      </c>
      <c r="R1" s="3" t="s">
        <v>43</v>
      </c>
    </row>
    <row r="2" spans="1:18">
      <c r="A2" s="5" t="s">
        <v>31</v>
      </c>
      <c r="B2" s="5" t="s">
        <v>20</v>
      </c>
      <c r="C2" s="5" t="s">
        <v>0</v>
      </c>
      <c r="D2" s="4">
        <v>50000</v>
      </c>
      <c r="E2" s="5" t="s">
        <v>32</v>
      </c>
      <c r="F2" s="13">
        <v>46381</v>
      </c>
      <c r="I2" s="5" t="s">
        <v>31</v>
      </c>
      <c r="J2" s="5" t="s">
        <v>20</v>
      </c>
      <c r="K2" s="5" t="s">
        <v>0</v>
      </c>
      <c r="L2" s="5" t="str">
        <f>PROPER(Proper_table[[#This Row],[Country]])</f>
        <v>Kenya</v>
      </c>
      <c r="M2" s="5">
        <f>LEN(Proper_table[[#This Row],[Updated_Country ]])</f>
        <v>5</v>
      </c>
      <c r="N2" s="4">
        <v>50000</v>
      </c>
      <c r="O2" s="4" t="b">
        <f>ISNUMBER(Proper_table[[#This Row],[Sales]])</f>
        <v>1</v>
      </c>
      <c r="P2" s="5" t="s">
        <v>32</v>
      </c>
      <c r="Q2" s="14">
        <v>46381</v>
      </c>
      <c r="R2" s="5" t="b">
        <f>ISNUMBER(Proper_table[[#This Row],[Date]])</f>
        <v>1</v>
      </c>
    </row>
    <row r="3" spans="1:18">
      <c r="A3" s="5" t="s">
        <v>33</v>
      </c>
      <c r="B3" s="5" t="s">
        <v>21</v>
      </c>
      <c r="C3" s="15" t="s">
        <v>34</v>
      </c>
      <c r="D3" s="6" t="s">
        <v>13</v>
      </c>
      <c r="E3" s="5" t="s">
        <v>32</v>
      </c>
      <c r="F3" s="14">
        <v>46382</v>
      </c>
      <c r="I3" s="5" t="s">
        <v>33</v>
      </c>
      <c r="J3" s="5" t="s">
        <v>21</v>
      </c>
      <c r="K3" s="15" t="s">
        <v>34</v>
      </c>
      <c r="L3" s="15" t="str">
        <f>PROPER(Proper_table[[#This Row],[Country]])</f>
        <v>Nigeria</v>
      </c>
      <c r="M3" s="15">
        <f>LEN(Proper_table[[#This Row],[Updated_Country ]])</f>
        <v>7</v>
      </c>
      <c r="N3" s="6">
        <v>75000</v>
      </c>
      <c r="O3" s="6" t="b">
        <f>ISNUMBER(Proper_table[[#This Row],[Sales]])</f>
        <v>1</v>
      </c>
      <c r="P3" s="5" t="s">
        <v>32</v>
      </c>
      <c r="Q3" s="14">
        <v>46382</v>
      </c>
      <c r="R3" s="5" t="b">
        <f>ISNUMBER(Proper_table[[#This Row],[Date]])</f>
        <v>1</v>
      </c>
    </row>
    <row r="4" spans="1:18">
      <c r="A4" s="5" t="s">
        <v>35</v>
      </c>
      <c r="B4" s="5" t="s">
        <v>20</v>
      </c>
      <c r="C4" s="15" t="s">
        <v>0</v>
      </c>
      <c r="D4" s="4">
        <v>50000</v>
      </c>
      <c r="E4" s="5" t="s">
        <v>32</v>
      </c>
      <c r="F4" s="14">
        <v>46383</v>
      </c>
      <c r="I4" s="5" t="s">
        <v>35</v>
      </c>
      <c r="J4" s="5" t="s">
        <v>20</v>
      </c>
      <c r="K4" s="15" t="s">
        <v>0</v>
      </c>
      <c r="L4" s="15" t="str">
        <f>PROPER(Proper_table[[#This Row],[Country]])</f>
        <v>Kenya</v>
      </c>
      <c r="M4" s="15">
        <f>LEN(Proper_table[[#This Row],[Updated_Country ]])</f>
        <v>5</v>
      </c>
      <c r="N4" s="4">
        <v>50000</v>
      </c>
      <c r="O4" s="4" t="b">
        <f>ISNUMBER(Proper_table[[#This Row],[Sales]])</f>
        <v>1</v>
      </c>
      <c r="P4" s="5" t="s">
        <v>32</v>
      </c>
      <c r="Q4" s="14">
        <v>46383</v>
      </c>
      <c r="R4" s="5" t="b">
        <f>ISNUMBER(Proper_table[[#This Row],[Date]])</f>
        <v>1</v>
      </c>
    </row>
    <row r="5" spans="1:18">
      <c r="A5" s="5" t="s">
        <v>36</v>
      </c>
      <c r="B5" s="5" t="s">
        <v>23</v>
      </c>
      <c r="C5" s="5" t="s">
        <v>0</v>
      </c>
      <c r="D5" s="2"/>
      <c r="E5" s="5" t="s">
        <v>37</v>
      </c>
      <c r="F5" s="13">
        <v>46384</v>
      </c>
      <c r="I5" s="5" t="s">
        <v>36</v>
      </c>
      <c r="J5" s="5" t="s">
        <v>23</v>
      </c>
      <c r="K5" s="5" t="s">
        <v>0</v>
      </c>
      <c r="L5" s="5" t="str">
        <f>PROPER(Proper_table[[#This Row],[Country]])</f>
        <v>Kenya</v>
      </c>
      <c r="M5" s="5">
        <f>LEN(Proper_table[[#This Row],[Updated_Country ]])</f>
        <v>5</v>
      </c>
      <c r="N5" s="2"/>
      <c r="O5" s="2" t="b">
        <f>ISNUMBER(Proper_table[[#This Row],[Sales]])</f>
        <v>0</v>
      </c>
      <c r="P5" s="5" t="s">
        <v>37</v>
      </c>
      <c r="Q5" s="14">
        <v>46384</v>
      </c>
      <c r="R5" s="5" t="b">
        <f>ISNUMBER(Proper_table[[#This Row],[Date]])</f>
        <v>1</v>
      </c>
    </row>
    <row r="6" spans="1:18">
      <c r="A6" s="5" t="s">
        <v>38</v>
      </c>
      <c r="B6" s="5" t="s">
        <v>24</v>
      </c>
      <c r="C6" s="5" t="s">
        <v>2</v>
      </c>
      <c r="D6" s="6" t="s">
        <v>15</v>
      </c>
      <c r="E6" s="21"/>
      <c r="F6" s="13">
        <v>46385</v>
      </c>
      <c r="I6" s="5" t="s">
        <v>38</v>
      </c>
      <c r="J6" s="5" t="s">
        <v>24</v>
      </c>
      <c r="K6" s="5" t="s">
        <v>2</v>
      </c>
      <c r="L6" s="5" t="str">
        <f>PROPER(Proper_table[[#This Row],[Country]])</f>
        <v>Kenya</v>
      </c>
      <c r="M6" s="5">
        <f>LEN(Proper_table[[#This Row],[Updated_Country ]])</f>
        <v>5</v>
      </c>
      <c r="N6" s="6">
        <v>60000</v>
      </c>
      <c r="O6" s="6" t="b">
        <f>ISNUMBER(Proper_table[[#This Row],[Sales]])</f>
        <v>1</v>
      </c>
      <c r="P6" s="21"/>
      <c r="Q6" s="14">
        <v>46385</v>
      </c>
      <c r="R6" s="5" t="b">
        <f>ISNUMBER(Proper_table[[#This Row],[Date]])</f>
        <v>1</v>
      </c>
    </row>
    <row r="7" spans="1:18">
      <c r="A7" s="5" t="s">
        <v>39</v>
      </c>
      <c r="B7" s="5" t="s">
        <v>26</v>
      </c>
      <c r="C7" s="5" t="s">
        <v>40</v>
      </c>
      <c r="D7" s="4">
        <v>-10000</v>
      </c>
      <c r="E7" s="5" t="s">
        <v>32</v>
      </c>
      <c r="F7" s="16">
        <v>46386</v>
      </c>
      <c r="I7" s="5" t="s">
        <v>39</v>
      </c>
      <c r="J7" s="5" t="s">
        <v>26</v>
      </c>
      <c r="K7" s="5" t="s">
        <v>40</v>
      </c>
      <c r="L7" s="5" t="str">
        <f>PROPER(Proper_table[[#This Row],[Country]])</f>
        <v>Tanzania</v>
      </c>
      <c r="M7" s="5">
        <f>LEN(Proper_table[[#This Row],[Updated_Country ]])</f>
        <v>8</v>
      </c>
      <c r="N7" s="4">
        <v>-10000</v>
      </c>
      <c r="O7" s="4" t="b">
        <f>ISNUMBER(Proper_table[[#This Row],[Sales]])</f>
        <v>1</v>
      </c>
      <c r="P7" s="5" t="s">
        <v>32</v>
      </c>
      <c r="Q7" s="18">
        <v>46386</v>
      </c>
      <c r="R7" s="5" t="b">
        <f>ISNUMBER(Proper_table[[#This Row],[Date]])</f>
        <v>1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FINAL_PRACTICLE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Chaudhari</dc:creator>
  <cp:lastModifiedBy>Praful Chaudhari</cp:lastModifiedBy>
  <dcterms:created xsi:type="dcterms:W3CDTF">2026-10-06T10:04:58Z</dcterms:created>
  <dcterms:modified xsi:type="dcterms:W3CDTF">2026-10-06T10:54:22Z</dcterms:modified>
</cp:coreProperties>
</file>