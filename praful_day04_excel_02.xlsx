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4\"/>
    </mc:Choice>
  </mc:AlternateContent>
  <bookViews>
    <workbookView xWindow="0" yWindow="0" windowWidth="20490" windowHeight="7500" firstSheet="1" activeTab="4"/>
  </bookViews>
  <sheets>
    <sheet name="Lookup" sheetId="1" r:id="rId1"/>
    <sheet name="Index_Match" sheetId="2" r:id="rId2"/>
    <sheet name="INDEX_MATCH_001" sheetId="3" r:id="rId3"/>
    <sheet name="DATA_VALIDATION" sheetId="4" r:id="rId4"/>
    <sheet name="Remove_Duplicat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3" l="1"/>
  <c r="F3" i="3"/>
  <c r="F2" i="3"/>
  <c r="C12" i="2"/>
  <c r="K7" i="2"/>
  <c r="K5" i="2"/>
  <c r="K4" i="2"/>
  <c r="F7" i="2"/>
  <c r="F3" i="2"/>
  <c r="I10" i="1"/>
  <c r="F9" i="1"/>
  <c r="J3" i="1" s="1"/>
  <c r="J2" i="1" l="1"/>
  <c r="J4" i="1"/>
</calcChain>
</file>

<file path=xl/sharedStrings.xml><?xml version="1.0" encoding="utf-8"?>
<sst xmlns="http://schemas.openxmlformats.org/spreadsheetml/2006/main" count="110" uniqueCount="27">
  <si>
    <t>Customer ID</t>
  </si>
  <si>
    <t>Customer</t>
  </si>
  <si>
    <t>Sales</t>
  </si>
  <si>
    <t>C001</t>
  </si>
  <si>
    <t>Rahul</t>
  </si>
  <si>
    <t>C002</t>
  </si>
  <si>
    <t>Priya</t>
  </si>
  <si>
    <t>C003</t>
  </si>
  <si>
    <t>Amit</t>
  </si>
  <si>
    <t>Country</t>
  </si>
  <si>
    <t>Segment</t>
  </si>
  <si>
    <t>Kenya</t>
  </si>
  <si>
    <t>Premium</t>
  </si>
  <si>
    <t>Nigeria</t>
  </si>
  <si>
    <t>Standard</t>
  </si>
  <si>
    <t>Tanzania</t>
  </si>
  <si>
    <t>C004</t>
  </si>
  <si>
    <t>Lookup</t>
  </si>
  <si>
    <t>Value</t>
  </si>
  <si>
    <t>C00</t>
  </si>
  <si>
    <t>MATCH</t>
  </si>
  <si>
    <t>INDEX</t>
  </si>
  <si>
    <t>INDEX/MATCH</t>
  </si>
  <si>
    <t>Uganda</t>
  </si>
  <si>
    <t>Initial_Stage</t>
  </si>
  <si>
    <t>Second_Stage</t>
  </si>
  <si>
    <t>Third_Stage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</si>
</sst>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6" fontId="0" fillId="0" borderId="0" xfId="0" applyNumberFormat="1" applyAlignment="1">
      <alignment horizontal="right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44"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0" formatCode="&quot;₹&quot;\ #,##0;[Red]&quot;₹&quot;\ \-#,##0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bl_sales" displayName="tbl_sales" ref="A1:C4" totalsRowShown="0">
  <tableColumns count="3">
    <tableColumn id="1" name="Customer ID" dataDxfId="38"/>
    <tableColumn id="2" name="Customer" dataDxfId="39"/>
    <tableColumn id="3" name="Sales" dataDxfId="4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bl_master" displayName="tbl_master" ref="F1:H4" totalsRowShown="0" headerRowDxfId="42" dataDxfId="41">
  <tableColumns count="3">
    <tableColumn id="1" name="Customer ID" dataDxfId="36"/>
    <tableColumn id="2" name="Country" dataDxfId="37"/>
    <tableColumn id="3" name="Segment" dataDxfId="4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4" totalsRowShown="0" headerRowDxfId="31" dataDxfId="32">
  <tableColumns count="3">
    <tableColumn id="1" name="Customer ID" dataDxfId="35"/>
    <tableColumn id="2" name="Country" dataDxfId="34"/>
    <tableColumn id="3" name="Segment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H1:I4" totalsRowShown="0" headerRowDxfId="27" dataDxfId="28">
  <tableColumns count="2">
    <tableColumn id="1" name="Customer ID" dataDxfId="30"/>
    <tableColumn id="2" name="Country" dataDxfId="29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6" name="tbl_master_001" displayName="tbl_master_001" ref="A1:B4" totalsRowShown="0" headerRowDxfId="23" dataDxfId="24">
  <tableColumns count="2">
    <tableColumn id="1" name="Customer ID" dataDxfId="26"/>
    <tableColumn id="2" name="Country" dataDxfId="25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2:B7" totalsRowShown="0" headerRowDxfId="17" headerRowBorderDxfId="21" tableBorderDxfId="22" totalsRowBorderDxfId="20">
  <tableColumns count="2">
    <tableColumn id="1" name="Customer ID" dataDxfId="19"/>
    <tableColumn id="2" name="Customer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810" displayName="Table810" ref="E2:F5" totalsRowShown="0" headerRowDxfId="11" dataDxfId="10" headerRowBorderDxfId="15" tableBorderDxfId="16" totalsRowBorderDxfId="14">
  <tableColumns count="2">
    <tableColumn id="1" name="Customer ID" dataDxfId="13"/>
    <tableColumn id="2" name="Customer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1" name="Table81012" displayName="Table81012" ref="I2:J5" totalsRowShown="0" headerRowDxfId="6" dataDxfId="5" headerRowBorderDxfId="3" tableBorderDxfId="4" totalsRowBorderDxfId="2">
  <tableColumns count="2">
    <tableColumn id="1" name="Customer ID" dataDxfId="1"/>
    <tableColumn id="2" name="Custom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K15" sqref="K15"/>
    </sheetView>
  </sheetViews>
  <sheetFormatPr defaultRowHeight="15" x14ac:dyDescent="0.25"/>
  <cols>
    <col min="1" max="1" width="16.42578125" style="7" bestFit="1" customWidth="1"/>
    <col min="2" max="2" width="14.140625" bestFit="1" customWidth="1"/>
    <col min="3" max="3" width="8.140625" bestFit="1" customWidth="1"/>
    <col min="6" max="6" width="16.42578125" style="7" bestFit="1" customWidth="1"/>
    <col min="7" max="7" width="12.5703125" bestFit="1" customWidth="1"/>
    <col min="8" max="8" width="13.42578125" bestFit="1" customWidth="1"/>
    <col min="9" max="9" width="10.28515625" bestFit="1" customWidth="1"/>
  </cols>
  <sheetData>
    <row r="1" spans="1:10" x14ac:dyDescent="0.25">
      <c r="A1" s="5" t="s">
        <v>0</v>
      </c>
      <c r="B1" s="1" t="s">
        <v>1</v>
      </c>
      <c r="C1" s="2" t="s">
        <v>2</v>
      </c>
      <c r="F1" s="5" t="s">
        <v>0</v>
      </c>
      <c r="G1" s="1" t="s">
        <v>9</v>
      </c>
      <c r="H1" s="1" t="s">
        <v>10</v>
      </c>
      <c r="J1" s="9" t="s">
        <v>17</v>
      </c>
    </row>
    <row r="2" spans="1:10" x14ac:dyDescent="0.25">
      <c r="A2" s="6" t="s">
        <v>3</v>
      </c>
      <c r="B2" s="3" t="s">
        <v>4</v>
      </c>
      <c r="C2" s="4">
        <v>50000</v>
      </c>
      <c r="F2" s="6" t="s">
        <v>3</v>
      </c>
      <c r="G2" s="3" t="s">
        <v>11</v>
      </c>
      <c r="H2" s="3" t="s">
        <v>12</v>
      </c>
      <c r="J2" s="8" t="str">
        <f>LOOKUP(tbl_sales[[#This Row],[Customer ID]], F:F, G:G)</f>
        <v>Kenya</v>
      </c>
    </row>
    <row r="3" spans="1:10" x14ac:dyDescent="0.25">
      <c r="A3" s="6" t="s">
        <v>5</v>
      </c>
      <c r="B3" s="3" t="s">
        <v>6</v>
      </c>
      <c r="C3" s="4">
        <v>75000</v>
      </c>
      <c r="F3" s="6" t="s">
        <v>5</v>
      </c>
      <c r="G3" s="3" t="s">
        <v>13</v>
      </c>
      <c r="H3" s="3" t="s">
        <v>14</v>
      </c>
      <c r="J3" s="8" t="str">
        <f>LOOKUP(tbl_sales[[#This Row],[Customer ID]], F:F, G:G)</f>
        <v>Nigeria</v>
      </c>
    </row>
    <row r="4" spans="1:10" x14ac:dyDescent="0.25">
      <c r="A4" s="6" t="s">
        <v>7</v>
      </c>
      <c r="B4" s="3" t="s">
        <v>8</v>
      </c>
      <c r="C4" s="4">
        <v>40000</v>
      </c>
      <c r="F4" s="6" t="s">
        <v>7</v>
      </c>
      <c r="G4" s="3" t="s">
        <v>15</v>
      </c>
      <c r="H4" s="3" t="s">
        <v>12</v>
      </c>
      <c r="J4" s="8" t="str">
        <f>LOOKUP(tbl_sales[[#This Row],[Customer ID]], F:F, G:G)</f>
        <v>Tanzania</v>
      </c>
    </row>
    <row r="9" spans="1:10" x14ac:dyDescent="0.25">
      <c r="E9" s="13" t="s">
        <v>17</v>
      </c>
      <c r="F9" s="12" t="str">
        <f>LOOKUP(A4, tbl_master[Customer ID], tbl_master[Country])</f>
        <v>Tanzania</v>
      </c>
      <c r="H9" s="14" t="s">
        <v>18</v>
      </c>
      <c r="I9" s="14" t="s">
        <v>17</v>
      </c>
    </row>
    <row r="10" spans="1:10" x14ac:dyDescent="0.25">
      <c r="H10" s="11" t="s">
        <v>19</v>
      </c>
      <c r="I10" s="11" t="str">
        <f>IFERROR(LOOKUP(H10, tbl_master[Customer ID], tbl_master[Country]), "Not Found")</f>
        <v>Not Found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C12" sqref="C12"/>
    </sheetView>
  </sheetViews>
  <sheetFormatPr defaultRowHeight="15" x14ac:dyDescent="0.25"/>
  <cols>
    <col min="1" max="1" width="14" customWidth="1"/>
    <col min="2" max="2" width="11.85546875" bestFit="1" customWidth="1"/>
    <col min="3" max="3" width="13.85546875" bestFit="1" customWidth="1"/>
    <col min="8" max="8" width="16.42578125" customWidth="1"/>
    <col min="9" max="9" width="12.5703125" customWidth="1"/>
    <col min="13" max="13" width="11.85546875" customWidth="1"/>
    <col min="14" max="14" width="8.7109375" customWidth="1"/>
  </cols>
  <sheetData>
    <row r="1" spans="1:14" x14ac:dyDescent="0.25">
      <c r="A1" s="1" t="s">
        <v>0</v>
      </c>
      <c r="B1" s="1" t="s">
        <v>9</v>
      </c>
      <c r="C1" s="1" t="s">
        <v>10</v>
      </c>
      <c r="H1" s="15" t="s">
        <v>0</v>
      </c>
      <c r="I1" s="15" t="s">
        <v>9</v>
      </c>
      <c r="M1" s="1"/>
      <c r="N1" s="1"/>
    </row>
    <row r="2" spans="1:14" x14ac:dyDescent="0.25">
      <c r="A2" s="3" t="s">
        <v>3</v>
      </c>
      <c r="B2" s="3" t="s">
        <v>11</v>
      </c>
      <c r="C2" s="3" t="s">
        <v>12</v>
      </c>
      <c r="E2" s="17" t="s">
        <v>20</v>
      </c>
      <c r="F2" s="17"/>
      <c r="H2" s="16" t="s">
        <v>3</v>
      </c>
      <c r="I2" s="16" t="s">
        <v>11</v>
      </c>
      <c r="M2" s="3"/>
      <c r="N2" s="3"/>
    </row>
    <row r="3" spans="1:14" x14ac:dyDescent="0.25">
      <c r="A3" s="3" t="s">
        <v>5</v>
      </c>
      <c r="B3" s="3" t="s">
        <v>13</v>
      </c>
      <c r="C3" s="3" t="s">
        <v>14</v>
      </c>
      <c r="E3" s="8" t="s">
        <v>5</v>
      </c>
      <c r="F3" s="8">
        <f>MATCH(E3, A:A, 0)</f>
        <v>3</v>
      </c>
      <c r="H3" s="16" t="s">
        <v>5</v>
      </c>
      <c r="I3" s="16" t="s">
        <v>13</v>
      </c>
      <c r="K3" s="14" t="s">
        <v>20</v>
      </c>
      <c r="M3" s="3"/>
      <c r="N3" s="3"/>
    </row>
    <row r="4" spans="1:14" x14ac:dyDescent="0.25">
      <c r="A4" s="3" t="s">
        <v>7</v>
      </c>
      <c r="B4" s="3" t="s">
        <v>15</v>
      </c>
      <c r="C4" s="3" t="s">
        <v>12</v>
      </c>
      <c r="H4" s="16" t="s">
        <v>7</v>
      </c>
      <c r="I4" s="16" t="s">
        <v>15</v>
      </c>
      <c r="K4" s="11">
        <f>MATCH("C003",H:H,0)</f>
        <v>4</v>
      </c>
      <c r="M4" s="3"/>
      <c r="N4" s="3"/>
    </row>
    <row r="5" spans="1:14" x14ac:dyDescent="0.25">
      <c r="K5" s="11">
        <f>MATCH("C003",Table4[Customer ID], 0)</f>
        <v>3</v>
      </c>
    </row>
    <row r="6" spans="1:14" x14ac:dyDescent="0.25">
      <c r="E6" s="17" t="s">
        <v>21</v>
      </c>
      <c r="F6" s="17"/>
    </row>
    <row r="7" spans="1:14" x14ac:dyDescent="0.25">
      <c r="E7" s="8"/>
      <c r="F7" s="8" t="str">
        <f>INDEX(B:B,3)</f>
        <v>Nigeria</v>
      </c>
      <c r="K7" t="str">
        <f>INDEX(Table4[Country], 3)</f>
        <v>Tanzania</v>
      </c>
    </row>
    <row r="11" spans="1:14" x14ac:dyDescent="0.25">
      <c r="B11" s="18" t="s">
        <v>0</v>
      </c>
      <c r="C11" s="18" t="s">
        <v>22</v>
      </c>
    </row>
    <row r="12" spans="1:14" x14ac:dyDescent="0.25">
      <c r="B12" s="10" t="s">
        <v>7</v>
      </c>
      <c r="C12" s="10" t="str">
        <f>INDEX(Table3[Country], MATCH(B12, Table3[Customer ID], 0))</f>
        <v>Tanzania</v>
      </c>
    </row>
  </sheetData>
  <mergeCells count="2">
    <mergeCell ref="E2:F2"/>
    <mergeCell ref="E6:F6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19" sqref="E19"/>
    </sheetView>
  </sheetViews>
  <sheetFormatPr defaultRowHeight="15" x14ac:dyDescent="0.25"/>
  <cols>
    <col min="1" max="1" width="16.42578125" bestFit="1" customWidth="1"/>
    <col min="2" max="2" width="12.5703125" bestFit="1" customWidth="1"/>
    <col min="5" max="5" width="11.85546875" bestFit="1" customWidth="1"/>
    <col min="6" max="6" width="10.28515625" bestFit="1" customWidth="1"/>
  </cols>
  <sheetData>
    <row r="1" spans="1:6" x14ac:dyDescent="0.25">
      <c r="A1" s="1" t="s">
        <v>0</v>
      </c>
      <c r="B1" s="1" t="s">
        <v>9</v>
      </c>
      <c r="E1" s="14" t="s">
        <v>0</v>
      </c>
      <c r="F1" s="9" t="s">
        <v>9</v>
      </c>
    </row>
    <row r="2" spans="1:6" x14ac:dyDescent="0.25">
      <c r="A2" s="3" t="s">
        <v>3</v>
      </c>
      <c r="B2" s="3" t="s">
        <v>11</v>
      </c>
      <c r="E2" s="19" t="s">
        <v>3</v>
      </c>
      <c r="F2" s="8" t="str">
        <f>INDEX(tbl_master_001[Country], MATCH(E2, tbl_master_001[Customer ID], 0))</f>
        <v>Kenya</v>
      </c>
    </row>
    <row r="3" spans="1:6" x14ac:dyDescent="0.25">
      <c r="A3" s="3" t="s">
        <v>5</v>
      </c>
      <c r="B3" s="3" t="s">
        <v>13</v>
      </c>
      <c r="E3" s="19" t="s">
        <v>5</v>
      </c>
      <c r="F3" s="8" t="str">
        <f>INDEX(tbl_master_001[Country], MATCH(E3, tbl_master_001[Customer ID], 0))</f>
        <v>Nigeria</v>
      </c>
    </row>
    <row r="4" spans="1:6" x14ac:dyDescent="0.25">
      <c r="A4" s="3" t="s">
        <v>7</v>
      </c>
      <c r="B4" s="3" t="s">
        <v>15</v>
      </c>
      <c r="E4" s="19" t="s">
        <v>16</v>
      </c>
      <c r="F4" s="8" t="str">
        <f>IFERROR(INDEX(tbl_master_001[Country], MATCH(E4, tbl_master_001[Customer ID], 0)), "Not Found")</f>
        <v>Not Found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1" sqref="J1:J9"/>
    </sheetView>
  </sheetViews>
  <sheetFormatPr defaultRowHeight="15" x14ac:dyDescent="0.25"/>
  <sheetData>
    <row r="1" spans="1:10" x14ac:dyDescent="0.25">
      <c r="A1" t="s">
        <v>9</v>
      </c>
      <c r="J1" t="s">
        <v>11</v>
      </c>
    </row>
    <row r="2" spans="1:10" x14ac:dyDescent="0.25">
      <c r="A2" t="s">
        <v>23</v>
      </c>
      <c r="J2" t="s">
        <v>13</v>
      </c>
    </row>
    <row r="3" spans="1:10" x14ac:dyDescent="0.25">
      <c r="A3" t="s">
        <v>11</v>
      </c>
      <c r="J3" t="s">
        <v>15</v>
      </c>
    </row>
    <row r="4" spans="1:10" x14ac:dyDescent="0.25">
      <c r="A4" t="s">
        <v>15</v>
      </c>
      <c r="J4" t="s">
        <v>23</v>
      </c>
    </row>
    <row r="5" spans="1:10" x14ac:dyDescent="0.25">
      <c r="A5" t="s">
        <v>11</v>
      </c>
    </row>
    <row r="6" spans="1:10" x14ac:dyDescent="0.25">
      <c r="A6" t="s">
        <v>23</v>
      </c>
    </row>
    <row r="7" spans="1:10" x14ac:dyDescent="0.25">
      <c r="A7" t="s">
        <v>23</v>
      </c>
    </row>
    <row r="8" spans="1:10" x14ac:dyDescent="0.25">
      <c r="A8" t="s">
        <v>23</v>
      </c>
    </row>
    <row r="9" spans="1:10" x14ac:dyDescent="0.25">
      <c r="A9" t="s">
        <v>23</v>
      </c>
    </row>
  </sheetData>
  <sortState ref="J1:J4">
    <sortCondition ref="J1"/>
  </sortState>
  <dataValidations count="1">
    <dataValidation type="list" allowBlank="1" showInputMessage="1" showErrorMessage="1" sqref="A2:A9">
      <formula1>$J$1:$J$4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I8" sqref="I8"/>
    </sheetView>
  </sheetViews>
  <sheetFormatPr defaultRowHeight="15" x14ac:dyDescent="0.25"/>
  <cols>
    <col min="1" max="1" width="16.42578125" bestFit="1" customWidth="1"/>
    <col min="2" max="2" width="14.140625" bestFit="1" customWidth="1"/>
    <col min="5" max="5" width="11.85546875" bestFit="1" customWidth="1"/>
    <col min="6" max="6" width="9.5703125" bestFit="1" customWidth="1"/>
    <col min="9" max="9" width="11.85546875" bestFit="1" customWidth="1"/>
    <col min="10" max="10" width="9.5703125" bestFit="1" customWidth="1"/>
  </cols>
  <sheetData>
    <row r="1" spans="1:10" x14ac:dyDescent="0.25">
      <c r="A1" s="20" t="s">
        <v>24</v>
      </c>
      <c r="B1" s="20"/>
      <c r="E1" s="27" t="s">
        <v>25</v>
      </c>
      <c r="F1" s="27"/>
      <c r="I1" s="27" t="s">
        <v>26</v>
      </c>
      <c r="J1" s="27"/>
    </row>
    <row r="2" spans="1:10" x14ac:dyDescent="0.25">
      <c r="A2" s="23" t="s">
        <v>0</v>
      </c>
      <c r="B2" s="24" t="s">
        <v>1</v>
      </c>
      <c r="E2" s="28" t="s">
        <v>0</v>
      </c>
      <c r="F2" s="29" t="s">
        <v>1</v>
      </c>
      <c r="I2" s="28" t="s">
        <v>0</v>
      </c>
      <c r="J2" s="29" t="s">
        <v>1</v>
      </c>
    </row>
    <row r="3" spans="1:10" x14ac:dyDescent="0.25">
      <c r="A3" s="21" t="s">
        <v>3</v>
      </c>
      <c r="B3" s="22" t="s">
        <v>4</v>
      </c>
      <c r="E3" s="30" t="s">
        <v>3</v>
      </c>
      <c r="F3" s="31" t="s">
        <v>4</v>
      </c>
      <c r="I3" s="30" t="s">
        <v>3</v>
      </c>
      <c r="J3" s="31" t="s">
        <v>4</v>
      </c>
    </row>
    <row r="4" spans="1:10" x14ac:dyDescent="0.25">
      <c r="A4" s="21" t="s">
        <v>5</v>
      </c>
      <c r="B4" s="22" t="s">
        <v>6</v>
      </c>
      <c r="E4" s="30" t="s">
        <v>5</v>
      </c>
      <c r="F4" s="31" t="s">
        <v>6</v>
      </c>
      <c r="I4" s="30" t="s">
        <v>5</v>
      </c>
      <c r="J4" s="31" t="s">
        <v>6</v>
      </c>
    </row>
    <row r="5" spans="1:10" x14ac:dyDescent="0.25">
      <c r="A5" s="21" t="s">
        <v>3</v>
      </c>
      <c r="B5" s="22" t="s">
        <v>4</v>
      </c>
      <c r="E5" s="30" t="s">
        <v>7</v>
      </c>
      <c r="F5" s="31" t="s">
        <v>8</v>
      </c>
      <c r="I5" s="30" t="s">
        <v>7</v>
      </c>
      <c r="J5" s="31" t="s">
        <v>8</v>
      </c>
    </row>
    <row r="6" spans="1:10" x14ac:dyDescent="0.25">
      <c r="A6" s="21" t="s">
        <v>7</v>
      </c>
      <c r="B6" s="22" t="s">
        <v>8</v>
      </c>
    </row>
    <row r="7" spans="1:10" x14ac:dyDescent="0.25">
      <c r="A7" s="25" t="s">
        <v>5</v>
      </c>
      <c r="B7" s="26" t="s">
        <v>6</v>
      </c>
    </row>
    <row r="8" spans="1:10" x14ac:dyDescent="0.25">
      <c r="A8" s="3"/>
      <c r="B8" s="3"/>
    </row>
  </sheetData>
  <mergeCells count="3">
    <mergeCell ref="A1:B1"/>
    <mergeCell ref="E1:F1"/>
    <mergeCell ref="I1:J1"/>
  </mergeCells>
  <conditionalFormatting sqref="A8:A1048576">
    <cfRule type="duplicateValues" dxfId="9" priority="3"/>
  </conditionalFormatting>
  <conditionalFormatting sqref="A8:A1048576">
    <cfRule type="duplicateValues" dxfId="8" priority="2"/>
  </conditionalFormatting>
  <conditionalFormatting sqref="A3:A7">
    <cfRule type="duplicateValues" dxfId="7" priority="1"/>
  </conditionalFormatting>
  <dataValidations count="1">
    <dataValidation type="whole" allowBlank="1" showInputMessage="1" showErrorMessage="1" sqref="A8">
      <formula1>0</formula1>
      <formula2>500</formula2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</vt:lpstr>
      <vt:lpstr>Index_Match</vt:lpstr>
      <vt:lpstr>INDEX_MATCH_001</vt:lpstr>
      <vt:lpstr>DATA_VALIDATION</vt:lpstr>
      <vt:lpstr>Remove_Duplicates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2026-10-05T08:07:07Z</dcterms:created>
  <dcterms:modified xsi:type="dcterms:W3CDTF">2026-10-05T11:09:05Z</dcterms:modified>
</cp:coreProperties>
</file>