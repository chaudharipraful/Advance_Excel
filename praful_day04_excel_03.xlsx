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4\"/>
    </mc:Choice>
  </mc:AlternateContent>
  <bookViews>
    <workbookView xWindow="0" yWindow="0" windowWidth="20490" windowHeight="6900" firstSheet="2" activeTab="5"/>
  </bookViews>
  <sheets>
    <sheet name="Date_Data_Quality" sheetId="1" r:id="rId1"/>
    <sheet name="Customer_Master_Table" sheetId="2" r:id="rId2"/>
    <sheet name="CRM_Sales_Table" sheetId="3" r:id="rId3"/>
    <sheet name="Data_Validation" sheetId="4" r:id="rId4"/>
    <sheet name="Remove_Duplicates" sheetId="5" r:id="rId5"/>
    <sheet name="Data_Standardize" sheetId="6" r:id="rId6"/>
    <sheet name="Date_Forma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E3" i="7" l="1"/>
  <c r="E4" i="7"/>
  <c r="E5" i="7"/>
  <c r="E2" i="7"/>
  <c r="D3" i="7"/>
  <c r="D4" i="7"/>
  <c r="D5" i="7"/>
  <c r="D2" i="7"/>
  <c r="C3" i="7"/>
  <c r="C4" i="7"/>
  <c r="C5" i="7"/>
  <c r="C2" i="7"/>
  <c r="E3" i="6"/>
  <c r="E4" i="6"/>
  <c r="E5" i="6"/>
  <c r="E2" i="6"/>
  <c r="D3" i="6"/>
  <c r="D4" i="6"/>
  <c r="D5" i="6"/>
  <c r="D2" i="6"/>
  <c r="D2" i="3"/>
  <c r="D3" i="3"/>
  <c r="D4" i="3"/>
  <c r="D5" i="3"/>
  <c r="C2" i="3"/>
  <c r="C3" i="3"/>
  <c r="C4" i="3"/>
  <c r="C5" i="3"/>
  <c r="F2" i="1" l="1"/>
  <c r="F3" i="1"/>
  <c r="F4" i="1"/>
  <c r="F5" i="1"/>
  <c r="E2" i="1"/>
  <c r="E3" i="1"/>
  <c r="E4" i="1"/>
  <c r="E5" i="1"/>
  <c r="D2" i="1"/>
  <c r="D3" i="1"/>
  <c r="D4" i="1"/>
  <c r="D5" i="1"/>
  <c r="C3" i="1"/>
  <c r="C4" i="1"/>
  <c r="C5" i="1"/>
  <c r="C2" i="1"/>
</calcChain>
</file>

<file path=xl/sharedStrings.xml><?xml version="1.0" encoding="utf-8"?>
<sst xmlns="http://schemas.openxmlformats.org/spreadsheetml/2006/main" count="82" uniqueCount="46">
  <si>
    <t>Customer</t>
  </si>
  <si>
    <t>Date</t>
  </si>
  <si>
    <t>Rahul</t>
  </si>
  <si>
    <t>Priya</t>
  </si>
  <si>
    <t>Amit</t>
  </si>
  <si>
    <t>Shreya</t>
  </si>
  <si>
    <t>Isnumber</t>
  </si>
  <si>
    <t>Extract_Day</t>
  </si>
  <si>
    <t>Extract_Month</t>
  </si>
  <si>
    <t>Extract_Year</t>
  </si>
  <si>
    <t>Customer ID</t>
  </si>
  <si>
    <t>Customer Name</t>
  </si>
  <si>
    <t>Country</t>
  </si>
  <si>
    <t>Segment</t>
  </si>
  <si>
    <t>C001</t>
  </si>
  <si>
    <t>Rahul Sharma</t>
  </si>
  <si>
    <t>Kenya</t>
  </si>
  <si>
    <t>Premium</t>
  </si>
  <si>
    <t>C002</t>
  </si>
  <si>
    <t>Priya Singh</t>
  </si>
  <si>
    <t>Nigeria</t>
  </si>
  <si>
    <t>Standard</t>
  </si>
  <si>
    <t>C003</t>
  </si>
  <si>
    <t>Amit Kumar</t>
  </si>
  <si>
    <t>Tanzania</t>
  </si>
  <si>
    <t>C004</t>
  </si>
  <si>
    <t>John Smith</t>
  </si>
  <si>
    <t>Sales</t>
  </si>
  <si>
    <t>C005</t>
  </si>
  <si>
    <t>Customer_Name</t>
  </si>
  <si>
    <t>Customer_Name (XLOOKUP)</t>
  </si>
  <si>
    <t>Allow_Status</t>
  </si>
  <si>
    <t>New</t>
  </si>
  <si>
    <t>In Progress</t>
  </si>
  <si>
    <t>Won</t>
  </si>
  <si>
    <t>Lost</t>
  </si>
  <si>
    <t>Status_Enter_By_User</t>
  </si>
  <si>
    <t>kenya</t>
  </si>
  <si>
    <t>NIGERIA</t>
  </si>
  <si>
    <t>tanzania</t>
  </si>
  <si>
    <t>JOHN SMITH</t>
  </si>
  <si>
    <t>Lead Date</t>
  </si>
  <si>
    <t>John</t>
  </si>
  <si>
    <t>Month</t>
  </si>
  <si>
    <t>Year</t>
  </si>
  <si>
    <t>Month_Year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</si>
</sst>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3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0" formatCode="&quot;₹&quot;\ #,##0;[Red]&quot;₹&quot;\ \-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5" totalsRowShown="0">
  <tableColumns count="6">
    <tableColumn id="1" name="Customer" dataDxfId="18"/>
    <tableColumn id="2" name="Date" dataDxfId="17"/>
    <tableColumn id="3" name="Isnumber">
      <calculatedColumnFormula>ISNUMBER(B2)</calculatedColumnFormula>
    </tableColumn>
    <tableColumn id="4" name="Extract_Day" dataDxfId="16">
      <calculatedColumnFormula>DAY(Table1[[#This Row],[Date]])</calculatedColumnFormula>
    </tableColumn>
    <tableColumn id="5" name="Extract_Month" dataDxfId="15">
      <calculatedColumnFormula>MONTH(Table1[[#This Row],[Date]])</calculatedColumnFormula>
    </tableColumn>
    <tableColumn id="6" name="Extract_Year" dataDxfId="14">
      <calculatedColumnFormula>YEAR(Table1[[#This Row],[Date]])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Customer_Master" displayName="Customer_Master" ref="A1:D5" totalsRowShown="0" headerRowDxfId="13" dataDxfId="12">
  <tableColumns count="4">
    <tableColumn id="1" name="Customer ID" dataDxfId="11"/>
    <tableColumn id="2" name="Customer Name" dataDxfId="10"/>
    <tableColumn id="3" name="Country" dataDxfId="9"/>
    <tableColumn id="4" name="Segment" dataDxfId="8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CRM_Sales_Data" displayName="CRM_Sales_Data" ref="A1:D5" totalsRowShown="0">
  <tableColumns count="4">
    <tableColumn id="1" name="Customer ID" dataDxfId="7"/>
    <tableColumn id="2" name="Sales" dataDxfId="6"/>
    <tableColumn id="3" name="Customer_Name" dataDxfId="5">
      <calculatedColumnFormula>IFERROR(INDEX(Customer_Master[Customer Name], MATCH(CRM_Sales_Data[[#This Row],[Customer ID]], Customer_Master[Customer ID], 0)), "Not Available")</calculatedColumnFormula>
    </tableColumn>
    <tableColumn id="4" name="Customer_Name (XLOOKUP)" dataDxfId="4">
      <calculatedColumnFormula>LOOKUP(CRM_Sales_Data[[#This Row],[Customer ID]], Customer_Master[Customer ID], Customer_Master[Customer Name])</calculatedColumnFormula>
    </tableColumn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" totalsRowShown="0">
  <tableColumns count="3">
    <tableColumn id="1" name="Customer ID" dataDxfId="2"/>
    <tableColumn id="2" name="Customer Name" dataDxfId="1"/>
    <tableColumn id="3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J8" sqref="J8"/>
    </sheetView>
  </sheetViews>
  <sheetFormatPr defaultRowHeight="15"/>
  <cols>
    <col min="1" max="1" width="14.140625" bestFit="1" customWidth="1"/>
    <col min="2" max="2" width="9.85546875" bestFit="1" customWidth="1"/>
    <col min="3" max="3" width="11.7109375" bestFit="1" customWidth="1"/>
    <col min="4" max="4" width="11.28515625" bestFit="1" customWidth="1"/>
    <col min="5" max="5" width="14.140625" bestFit="1" customWidth="1"/>
    <col min="6" max="6" width="12" bestFit="1" customWidth="1"/>
  </cols>
  <sheetData>
    <row r="1" spans="1:6">
      <c r="A1" s="2" t="s">
        <v>0</v>
      </c>
      <c r="B1" s="2" t="s">
        <v>1</v>
      </c>
      <c r="C1" s="5" t="s">
        <v>6</v>
      </c>
      <c r="D1" t="s">
        <v>7</v>
      </c>
      <c r="E1" t="s">
        <v>8</v>
      </c>
      <c r="F1" t="s">
        <v>9</v>
      </c>
    </row>
    <row r="2" spans="1:6">
      <c r="A2" s="3" t="s">
        <v>2</v>
      </c>
      <c r="B2" s="4">
        <v>46027</v>
      </c>
      <c r="C2" t="b">
        <f>ISNUMBER(B2)</f>
        <v>1</v>
      </c>
      <c r="D2">
        <f>DAY(Table1[[#This Row],[Date]])</f>
        <v>5</v>
      </c>
      <c r="E2">
        <f>MONTH(Table1[[#This Row],[Date]])</f>
        <v>1</v>
      </c>
      <c r="F2">
        <f>YEAR(Table1[[#This Row],[Date]])</f>
        <v>2026</v>
      </c>
    </row>
    <row r="3" spans="1:6">
      <c r="A3" s="3" t="s">
        <v>3</v>
      </c>
      <c r="B3" s="4">
        <v>46068</v>
      </c>
      <c r="C3" t="b">
        <f t="shared" ref="C3:C5" si="0">ISNUMBER(B3)</f>
        <v>1</v>
      </c>
      <c r="D3">
        <f>DAY(Table1[[#This Row],[Date]])</f>
        <v>15</v>
      </c>
      <c r="E3">
        <f>MONTH(Table1[[#This Row],[Date]])</f>
        <v>2</v>
      </c>
      <c r="F3">
        <f>YEAR(Table1[[#This Row],[Date]])</f>
        <v>2026</v>
      </c>
    </row>
    <row r="4" spans="1:6">
      <c r="A4" s="3" t="s">
        <v>4</v>
      </c>
      <c r="B4" s="4">
        <v>46101</v>
      </c>
      <c r="C4" t="b">
        <f t="shared" si="0"/>
        <v>1</v>
      </c>
      <c r="D4">
        <f>DAY(Table1[[#This Row],[Date]])</f>
        <v>20</v>
      </c>
      <c r="E4">
        <f>MONTH(Table1[[#This Row],[Date]])</f>
        <v>3</v>
      </c>
      <c r="F4">
        <f>YEAR(Table1[[#This Row],[Date]])</f>
        <v>2026</v>
      </c>
    </row>
    <row r="5" spans="1:6">
      <c r="A5" s="3" t="s">
        <v>5</v>
      </c>
      <c r="B5" s="1">
        <v>46124</v>
      </c>
      <c r="C5" t="b">
        <f t="shared" si="0"/>
        <v>1</v>
      </c>
      <c r="D5">
        <f>DAY(Table1[[#This Row],[Date]])</f>
        <v>12</v>
      </c>
      <c r="E5">
        <f>MONTH(Table1[[#This Row],[Date]])</f>
        <v>4</v>
      </c>
      <c r="F5">
        <f>YEAR(Table1[[#This Row],[Date]])</f>
        <v>2026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9" sqref="A9"/>
    </sheetView>
  </sheetViews>
  <sheetFormatPr defaultRowHeight="15"/>
  <cols>
    <col min="1" max="1" width="16.42578125" bestFit="1" customWidth="1"/>
    <col min="2" max="2" width="20" bestFit="1" customWidth="1"/>
    <col min="3" max="3" width="12.5703125" bestFit="1" customWidth="1"/>
    <col min="4" max="4" width="13.42578125" bestFit="1" customWidth="1"/>
  </cols>
  <sheetData>
    <row r="1" spans="1:4">
      <c r="A1" s="2" t="s">
        <v>10</v>
      </c>
      <c r="B1" s="2" t="s">
        <v>11</v>
      </c>
      <c r="C1" s="2" t="s">
        <v>12</v>
      </c>
      <c r="D1" s="2" t="s">
        <v>13</v>
      </c>
    </row>
    <row r="2" spans="1:4">
      <c r="A2" s="3" t="s">
        <v>14</v>
      </c>
      <c r="B2" s="3" t="s">
        <v>15</v>
      </c>
      <c r="C2" s="3" t="s">
        <v>16</v>
      </c>
      <c r="D2" s="3" t="s">
        <v>17</v>
      </c>
    </row>
    <row r="3" spans="1:4">
      <c r="A3" s="3" t="s">
        <v>18</v>
      </c>
      <c r="B3" s="3" t="s">
        <v>19</v>
      </c>
      <c r="C3" s="3" t="s">
        <v>20</v>
      </c>
      <c r="D3" s="3" t="s">
        <v>21</v>
      </c>
    </row>
    <row r="4" spans="1:4">
      <c r="A4" s="3" t="s">
        <v>22</v>
      </c>
      <c r="B4" s="3" t="s">
        <v>23</v>
      </c>
      <c r="C4" s="3" t="s">
        <v>24</v>
      </c>
      <c r="D4" s="3" t="s">
        <v>17</v>
      </c>
    </row>
    <row r="5" spans="1:4">
      <c r="A5" s="3" t="s">
        <v>25</v>
      </c>
      <c r="B5" s="3" t="s">
        <v>26</v>
      </c>
      <c r="C5" s="3" t="s">
        <v>16</v>
      </c>
      <c r="D5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11" sqref="D11"/>
    </sheetView>
  </sheetViews>
  <sheetFormatPr defaultRowHeight="15"/>
  <cols>
    <col min="1" max="1" width="16.42578125" bestFit="1" customWidth="1"/>
    <col min="2" max="2" width="8.140625" bestFit="1" customWidth="1"/>
    <col min="3" max="3" width="16" bestFit="1" customWidth="1"/>
    <col min="4" max="4" width="26.85546875" bestFit="1" customWidth="1"/>
  </cols>
  <sheetData>
    <row r="1" spans="1:6">
      <c r="A1" s="2" t="s">
        <v>10</v>
      </c>
      <c r="B1" s="6" t="s">
        <v>27</v>
      </c>
      <c r="C1" t="s">
        <v>29</v>
      </c>
      <c r="D1" t="s">
        <v>30</v>
      </c>
    </row>
    <row r="2" spans="1:6">
      <c r="A2" s="3" t="s">
        <v>14</v>
      </c>
      <c r="B2" s="7">
        <v>50000</v>
      </c>
      <c r="C2" t="str">
        <f>IFERROR(INDEX(Customer_Master[Customer Name], MATCH(CRM_Sales_Data[[#This Row],[Customer ID]], Customer_Master[Customer ID], 0)), "Not Available")</f>
        <v>Rahul Sharma</v>
      </c>
      <c r="D2" t="str">
        <f>LOOKUP(CRM_Sales_Data[[#This Row],[Customer ID]], Customer_Master[Customer ID], Customer_Master[Customer Name])</f>
        <v>Rahul Sharma</v>
      </c>
      <c r="F2" t="str">
        <f>LOOKUP(CRM_Sales_Data[[#This Row],[Customer ID]], Customer_Master[Customer ID], CRM_Sales_Data[Customer_Name])</f>
        <v>Rahul Sharma</v>
      </c>
    </row>
    <row r="3" spans="1:6">
      <c r="A3" s="3" t="s">
        <v>18</v>
      </c>
      <c r="B3" s="7">
        <v>75000</v>
      </c>
      <c r="C3" t="str">
        <f>IFERROR(INDEX(Customer_Master[Customer Name], MATCH(CRM_Sales_Data[[#This Row],[Customer ID]], Customer_Master[Customer ID], 0)), "Not Available")</f>
        <v>Priya Singh</v>
      </c>
      <c r="D3" t="str">
        <f>LOOKUP(CRM_Sales_Data[[#This Row],[Customer ID]], Customer_Master[Customer ID], Customer_Master[Customer Name])</f>
        <v>Priya Singh</v>
      </c>
    </row>
    <row r="4" spans="1:6">
      <c r="A4" s="3" t="s">
        <v>28</v>
      </c>
      <c r="B4" s="7">
        <v>30000</v>
      </c>
      <c r="C4" t="str">
        <f>IFERROR(INDEX(Customer_Master[Customer Name], MATCH(CRM_Sales_Data[[#This Row],[Customer ID]], Customer_Master[Customer ID], 0)), "Not Available")</f>
        <v>Not Available</v>
      </c>
      <c r="D4" t="str">
        <f>LOOKUP(CRM_Sales_Data[[#This Row],[Customer ID]], Customer_Master[Customer ID], Customer_Master[Customer Name])</f>
        <v>John Smith</v>
      </c>
    </row>
    <row r="5" spans="1:6">
      <c r="A5" s="3" t="s">
        <v>22</v>
      </c>
      <c r="B5" s="7">
        <v>40000</v>
      </c>
      <c r="C5" t="str">
        <f>IFERROR(INDEX(Customer_Master[Customer Name], MATCH(CRM_Sales_Data[[#This Row],[Customer ID]], Customer_Master[Customer ID], 0)), "Not Available")</f>
        <v>Amit Kumar</v>
      </c>
      <c r="D5" t="str">
        <f>LOOKUP(CRM_Sales_Data[[#This Row],[Customer ID]], Customer_Master[Customer ID], Customer_Master[Customer Name])</f>
        <v>Amit Kumar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I13" sqref="I13"/>
    </sheetView>
  </sheetViews>
  <sheetFormatPr defaultRowHeight="15"/>
  <cols>
    <col min="1" max="1" width="20.5703125" bestFit="1" customWidth="1"/>
    <col min="11" max="11" width="12.5703125" bestFit="1" customWidth="1"/>
  </cols>
  <sheetData>
    <row r="1" spans="1:11">
      <c r="A1" s="8" t="s">
        <v>36</v>
      </c>
      <c r="K1" s="10" t="s">
        <v>31</v>
      </c>
    </row>
    <row r="2" spans="1:11">
      <c r="A2" s="9" t="s">
        <v>32</v>
      </c>
      <c r="K2" s="9" t="s">
        <v>32</v>
      </c>
    </row>
    <row r="3" spans="1:11">
      <c r="A3" s="9" t="s">
        <v>34</v>
      </c>
      <c r="K3" s="9" t="s">
        <v>33</v>
      </c>
    </row>
    <row r="4" spans="1:11">
      <c r="A4" s="9" t="s">
        <v>34</v>
      </c>
      <c r="K4" s="9" t="s">
        <v>34</v>
      </c>
    </row>
    <row r="5" spans="1:11">
      <c r="A5" s="9" t="s">
        <v>33</v>
      </c>
      <c r="K5" s="9" t="s">
        <v>35</v>
      </c>
    </row>
    <row r="6" spans="1:11">
      <c r="A6" s="9" t="s">
        <v>35</v>
      </c>
    </row>
    <row r="7" spans="1:11">
      <c r="A7" s="9" t="s">
        <v>34</v>
      </c>
    </row>
  </sheetData>
  <dataValidations count="1">
    <dataValidation type="list" allowBlank="1" showInputMessage="1" showErrorMessage="1" sqref="A2:A7">
      <formula1>$K$2:$K$5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10" zoomScaleNormal="110" workbookViewId="0">
      <selection activeCell="B2" sqref="B2"/>
    </sheetView>
  </sheetViews>
  <sheetFormatPr defaultRowHeight="15"/>
  <cols>
    <col min="1" max="1" width="16.42578125" bestFit="1" customWidth="1"/>
    <col min="2" max="2" width="20" bestFit="1" customWidth="1"/>
    <col min="3" max="3" width="6.5703125" bestFit="1" customWidth="1"/>
  </cols>
  <sheetData>
    <row r="1" spans="1:3">
      <c r="A1" s="2" t="s">
        <v>10</v>
      </c>
      <c r="B1" s="2" t="s">
        <v>11</v>
      </c>
      <c r="C1" s="6" t="s">
        <v>27</v>
      </c>
    </row>
    <row r="2" spans="1:3">
      <c r="A2" s="3" t="s">
        <v>14</v>
      </c>
      <c r="B2" s="3" t="s">
        <v>15</v>
      </c>
      <c r="C2" s="11">
        <v>50000</v>
      </c>
    </row>
    <row r="3" spans="1:3">
      <c r="A3" s="3" t="s">
        <v>18</v>
      </c>
      <c r="B3" s="3" t="s">
        <v>19</v>
      </c>
      <c r="C3" s="11">
        <v>75000</v>
      </c>
    </row>
    <row r="4" spans="1:3">
      <c r="A4" s="3" t="s">
        <v>22</v>
      </c>
      <c r="B4" s="3" t="s">
        <v>23</v>
      </c>
      <c r="C4" s="11">
        <v>40000</v>
      </c>
    </row>
    <row r="5" spans="1:3">
      <c r="A5" s="3" t="s">
        <v>25</v>
      </c>
      <c r="B5" s="3" t="s">
        <v>26</v>
      </c>
      <c r="C5" s="11">
        <v>30000</v>
      </c>
    </row>
  </sheetData>
  <conditionalFormatting sqref="A1:A5 A7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G15" sqref="G15"/>
    </sheetView>
  </sheetViews>
  <sheetFormatPr defaultRowHeight="15"/>
  <cols>
    <col min="1" max="1" width="15.42578125" bestFit="1" customWidth="1"/>
    <col min="2" max="2" width="8.42578125" bestFit="1" customWidth="1"/>
    <col min="4" max="4" width="16" bestFit="1" customWidth="1"/>
  </cols>
  <sheetData>
    <row r="1" spans="1:5">
      <c r="A1" s="2" t="s">
        <v>11</v>
      </c>
      <c r="B1" s="2" t="s">
        <v>12</v>
      </c>
      <c r="D1" s="10" t="s">
        <v>29</v>
      </c>
      <c r="E1" s="10" t="s">
        <v>12</v>
      </c>
    </row>
    <row r="2" spans="1:5">
      <c r="A2" s="12" t="s">
        <v>15</v>
      </c>
      <c r="B2" s="12" t="s">
        <v>37</v>
      </c>
      <c r="D2" s="9" t="str">
        <f>TRIM(PROPER(A2))</f>
        <v>Rahul Sharma</v>
      </c>
      <c r="E2" s="9" t="str">
        <f>TRIM(PROPER(B2))</f>
        <v>Kenya</v>
      </c>
    </row>
    <row r="3" spans="1:5">
      <c r="A3" s="12" t="s">
        <v>19</v>
      </c>
      <c r="B3" s="12" t="s">
        <v>38</v>
      </c>
      <c r="D3" s="9" t="str">
        <f t="shared" ref="D3:D5" si="0">TRIM(PROPER(A3))</f>
        <v>Priya Singh</v>
      </c>
      <c r="E3" s="9" t="str">
        <f t="shared" ref="E3:E5" si="1">TRIM(PROPER(B3))</f>
        <v>Nigeria</v>
      </c>
    </row>
    <row r="4" spans="1:5">
      <c r="A4" s="12" t="s">
        <v>23</v>
      </c>
      <c r="B4" s="12" t="s">
        <v>39</v>
      </c>
      <c r="D4" s="9" t="str">
        <f t="shared" si="0"/>
        <v>Amit Kumar</v>
      </c>
      <c r="E4" s="9" t="str">
        <f t="shared" si="1"/>
        <v>Tanzania</v>
      </c>
    </row>
    <row r="5" spans="1:5">
      <c r="A5" s="12" t="s">
        <v>40</v>
      </c>
      <c r="B5" s="12" t="s">
        <v>16</v>
      </c>
      <c r="D5" s="9" t="str">
        <f t="shared" si="0"/>
        <v>John Smith</v>
      </c>
      <c r="E5" s="9" t="str">
        <f t="shared" si="1"/>
        <v>Kenya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I15" sqref="I15"/>
    </sheetView>
  </sheetViews>
  <sheetFormatPr defaultRowHeight="15"/>
  <cols>
    <col min="1" max="1" width="9.5703125" bestFit="1" customWidth="1"/>
    <col min="2" max="2" width="9.85546875" bestFit="1" customWidth="1"/>
    <col min="5" max="5" width="14.7109375" bestFit="1" customWidth="1"/>
  </cols>
  <sheetData>
    <row r="1" spans="1:5" s="5" customFormat="1">
      <c r="A1" s="16" t="s">
        <v>0</v>
      </c>
      <c r="B1" s="16" t="s">
        <v>41</v>
      </c>
      <c r="C1" s="17" t="s">
        <v>43</v>
      </c>
      <c r="D1" s="17" t="s">
        <v>44</v>
      </c>
      <c r="E1" s="17" t="s">
        <v>45</v>
      </c>
    </row>
    <row r="2" spans="1:5">
      <c r="A2" s="13" t="s">
        <v>2</v>
      </c>
      <c r="B2" s="14">
        <v>46027</v>
      </c>
      <c r="C2" s="15">
        <f>MONTH(B2)</f>
        <v>1</v>
      </c>
      <c r="D2" s="15">
        <f>YEAR(B2)</f>
        <v>2026</v>
      </c>
      <c r="E2" s="9" t="str">
        <f>TEXT(B2, "mmmm yyyy")</f>
        <v>January 2026</v>
      </c>
    </row>
    <row r="3" spans="1:5">
      <c r="A3" s="13" t="s">
        <v>3</v>
      </c>
      <c r="B3" s="14">
        <v>46068</v>
      </c>
      <c r="C3" s="15">
        <f t="shared" ref="C3:C5" si="0">MONTH(B3)</f>
        <v>2</v>
      </c>
      <c r="D3" s="15">
        <f t="shared" ref="D3:D5" si="1">YEAR(B3)</f>
        <v>2026</v>
      </c>
      <c r="E3" s="9" t="str">
        <f t="shared" ref="E3:E5" si="2">TEXT(B3, "mmmm yyyy")</f>
        <v>February 2026</v>
      </c>
    </row>
    <row r="4" spans="1:5">
      <c r="A4" s="13" t="s">
        <v>4</v>
      </c>
      <c r="B4" s="14">
        <v>46101</v>
      </c>
      <c r="C4" s="15">
        <f t="shared" si="0"/>
        <v>3</v>
      </c>
      <c r="D4" s="15">
        <f t="shared" si="1"/>
        <v>2026</v>
      </c>
      <c r="E4" s="9" t="str">
        <f t="shared" si="2"/>
        <v>March 2026</v>
      </c>
    </row>
    <row r="5" spans="1:5">
      <c r="A5" s="13" t="s">
        <v>42</v>
      </c>
      <c r="B5" s="14">
        <v>46381</v>
      </c>
      <c r="C5" s="15">
        <f t="shared" si="0"/>
        <v>12</v>
      </c>
      <c r="D5" s="15">
        <f t="shared" si="1"/>
        <v>2026</v>
      </c>
      <c r="E5" s="9" t="str">
        <f t="shared" si="2"/>
        <v>December 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Date_Data_Quality</vt:lpstr>
      <vt:lpstr>Customer_Master_Table</vt:lpstr>
      <vt:lpstr>CRM_Sales_Table</vt:lpstr>
      <vt:lpstr>Data_Validation</vt:lpstr>
      <vt:lpstr>Remove_Duplicates</vt:lpstr>
      <vt:lpstr>Data_Standardize</vt:lpstr>
      <vt:lpstr>Date_Format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2026-10-05T11:09:06Z</dcterms:created>
  <dcterms:modified xsi:type="dcterms:W3CDTF">2026-10-05T14:17:55Z</dcterms:modified>
</cp:coreProperties>
</file>