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13\"/>
    </mc:Choice>
  </mc:AlternateContent>
  <bookViews>
    <workbookView xWindow="0" yWindow="0" windowWidth="20490" windowHeight="6900" firstSheet="3" activeTab="6"/>
  </bookViews>
  <sheets>
    <sheet name="Dataset_001" sheetId="1" r:id="rId1"/>
    <sheet name="Dataset_002" sheetId="2" r:id="rId2"/>
    <sheet name="Dataset_003" sheetId="3" r:id="rId3"/>
    <sheet name="KPI_Calculations" sheetId="4" r:id="rId4"/>
    <sheet name="KPI_Calculations_001" sheetId="5" r:id="rId5"/>
    <sheet name="Analyze_Performace" sheetId="6" r:id="rId6"/>
    <sheet name="Performace_Analysi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7" l="1"/>
  <c r="M16" i="7"/>
  <c r="M17" i="7"/>
  <c r="M18" i="7"/>
  <c r="L15" i="7"/>
  <c r="L16" i="7"/>
  <c r="L17" i="7"/>
  <c r="L18" i="7"/>
  <c r="M8" i="7"/>
  <c r="M9" i="7"/>
  <c r="M10" i="7"/>
  <c r="L8" i="7"/>
  <c r="L9" i="7"/>
  <c r="L10" i="7"/>
  <c r="K11" i="7"/>
  <c r="J11" i="7"/>
  <c r="M11" i="7" s="1"/>
  <c r="M2" i="7"/>
  <c r="M3" i="7"/>
  <c r="M4" i="7"/>
  <c r="L2" i="7"/>
  <c r="L3" i="7"/>
  <c r="L4" i="7"/>
  <c r="E2" i="7"/>
  <c r="F2" i="7" s="1"/>
  <c r="E3" i="7"/>
  <c r="F3" i="7" s="1"/>
  <c r="E4" i="7"/>
  <c r="F4" i="7" s="1"/>
  <c r="E5" i="7"/>
  <c r="F5" i="7" s="1"/>
  <c r="D2" i="7"/>
  <c r="D3" i="7"/>
  <c r="D4" i="7"/>
  <c r="D5" i="7"/>
  <c r="E2" i="6"/>
  <c r="E3" i="6"/>
  <c r="E4" i="6"/>
  <c r="E5" i="6"/>
  <c r="D2" i="6"/>
  <c r="D3" i="6"/>
  <c r="D4" i="6"/>
  <c r="D5" i="6"/>
  <c r="C5" i="6"/>
  <c r="B5" i="6"/>
  <c r="F2" i="5"/>
  <c r="F3" i="5"/>
  <c r="F4" i="5"/>
  <c r="F5" i="5"/>
  <c r="E2" i="5"/>
  <c r="E3" i="5"/>
  <c r="E4" i="5"/>
  <c r="E5" i="5"/>
  <c r="D2" i="5"/>
  <c r="D3" i="5"/>
  <c r="D4" i="5"/>
  <c r="D5" i="5"/>
  <c r="C5" i="5"/>
  <c r="B5" i="5"/>
  <c r="L10" i="4"/>
  <c r="K10" i="4"/>
  <c r="J10" i="4"/>
  <c r="I10" i="4"/>
  <c r="E11" i="4"/>
  <c r="D11" i="4"/>
  <c r="C11" i="4"/>
  <c r="J3" i="1"/>
  <c r="J4" i="1"/>
  <c r="J5" i="1"/>
  <c r="J6" i="1"/>
  <c r="J7" i="1"/>
  <c r="J8" i="1"/>
  <c r="J2" i="1"/>
  <c r="L11" i="7" l="1"/>
</calcChain>
</file>

<file path=xl/comments1.xml><?xml version="1.0" encoding="utf-8"?>
<comments xmlns="http://schemas.openxmlformats.org/spreadsheetml/2006/main">
  <authors>
    <author>Praful Chaudhari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Praful Chaudhari:</t>
        </r>
        <r>
          <rPr>
            <sz val="9"/>
            <color indexed="81"/>
            <rFont val="Tahoma"/>
            <family val="2"/>
          </rPr>
          <t xml:space="preserve">
Need to investigate about this transaction.
</t>
        </r>
      </text>
    </comment>
  </commentList>
</comments>
</file>

<file path=xl/sharedStrings.xml><?xml version="1.0" encoding="utf-8"?>
<sst xmlns="http://schemas.openxmlformats.org/spreadsheetml/2006/main" count="179" uniqueCount="76">
  <si>
    <t>Transaction ID</t>
  </si>
  <si>
    <t>Date</t>
  </si>
  <si>
    <t>Country</t>
  </si>
  <si>
    <t>Branch</t>
  </si>
  <si>
    <t>Product</t>
  </si>
  <si>
    <t>Salesperson</t>
  </si>
  <si>
    <t>Sales</t>
  </si>
  <si>
    <t>Target</t>
  </si>
  <si>
    <t>T001</t>
  </si>
  <si>
    <t>Kenya</t>
  </si>
  <si>
    <t>Nairobi</t>
  </si>
  <si>
    <t>A</t>
  </si>
  <si>
    <t>John</t>
  </si>
  <si>
    <t>T002</t>
  </si>
  <si>
    <t>Nigeria</t>
  </si>
  <si>
    <t>Lagos</t>
  </si>
  <si>
    <t>B</t>
  </si>
  <si>
    <t>Mary</t>
  </si>
  <si>
    <t>T003</t>
  </si>
  <si>
    <t>Mombasa</t>
  </si>
  <si>
    <t>Peter</t>
  </si>
  <si>
    <t>T004</t>
  </si>
  <si>
    <t>Tanzania</t>
  </si>
  <si>
    <t>Dar es Salaam</t>
  </si>
  <si>
    <t>C</t>
  </si>
  <si>
    <t>Jane</t>
  </si>
  <si>
    <t>T005</t>
  </si>
  <si>
    <t>David</t>
  </si>
  <si>
    <t>T006</t>
  </si>
  <si>
    <t>Date_Check</t>
  </si>
  <si>
    <t>List_Country</t>
  </si>
  <si>
    <t>Branch_List</t>
  </si>
  <si>
    <t>kenya</t>
  </si>
  <si>
    <t>T101</t>
  </si>
  <si>
    <t>T102</t>
  </si>
  <si>
    <t>T103</t>
  </si>
  <si>
    <t>T104</t>
  </si>
  <si>
    <t>Sales Date</t>
  </si>
  <si>
    <t>T201</t>
  </si>
  <si>
    <t>T202</t>
  </si>
  <si>
    <t>T203</t>
  </si>
  <si>
    <t>T204</t>
  </si>
  <si>
    <t>T205</t>
  </si>
  <si>
    <t>Actual Sales</t>
  </si>
  <si>
    <t>Sales Target</t>
  </si>
  <si>
    <t>Total_Actual_Sales</t>
  </si>
  <si>
    <t>Total_Target_Sales</t>
  </si>
  <si>
    <t>Overall_Achievement_%</t>
  </si>
  <si>
    <t>Overall_Sales_Variance</t>
  </si>
  <si>
    <t>Total</t>
  </si>
  <si>
    <t>Which Branch Need Attention</t>
  </si>
  <si>
    <t>Achievement_%</t>
  </si>
  <si>
    <t>Variance</t>
  </si>
  <si>
    <t>Variance_%</t>
  </si>
  <si>
    <t>Achievement %</t>
  </si>
  <si>
    <t>Branch Performance best relative to its target?</t>
  </si>
  <si>
    <t>Which branch has the largest sales shortfall?</t>
  </si>
  <si>
    <t>Nairobi's achievement is 120% relative to it's target</t>
  </si>
  <si>
    <t>Lagos achievement is only 80% relative to it's target</t>
  </si>
  <si>
    <t>Positive variance 8000 realative to 3 branches</t>
  </si>
  <si>
    <t xml:space="preserve">Negative variance -9000 relative to 3 branches </t>
  </si>
  <si>
    <t>Uganda</t>
  </si>
  <si>
    <t>Abuja</t>
  </si>
  <si>
    <t>Kano</t>
  </si>
  <si>
    <t>Nigeria_Branch</t>
  </si>
  <si>
    <t>Product A</t>
  </si>
  <si>
    <t>Product B</t>
  </si>
  <si>
    <t>Product C</t>
  </si>
  <si>
    <t>Lagos_Product</t>
  </si>
  <si>
    <t>Month</t>
  </si>
  <si>
    <t>July</t>
  </si>
  <si>
    <t>August</t>
  </si>
  <si>
    <t>September</t>
  </si>
  <si>
    <t>October</t>
  </si>
  <si>
    <t>Product_C</t>
  </si>
  <si>
    <t xml:space="preserve">Variance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</si>
</sst>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0" fontId="0" fillId="0" borderId="0" xfId="0" applyNumberFormat="1"/>
    <xf numFmtId="10" fontId="0" fillId="0" borderId="2" xfId="0" applyNumberFormat="1" applyBorder="1" applyAlignment="1">
      <alignment horizontal="center"/>
    </xf>
    <xf numFmtId="0" fontId="0" fillId="0" borderId="2" xfId="0" applyBorder="1"/>
    <xf numFmtId="0" fontId="2" fillId="6" borderId="0" xfId="0" applyFont="1" applyFill="1" applyAlignment="1">
      <alignment vertical="center"/>
    </xf>
    <xf numFmtId="3" fontId="2" fillId="6" borderId="0" xfId="0" applyNumberFormat="1" applyFont="1" applyFill="1" applyAlignment="1">
      <alignment vertical="center"/>
    </xf>
    <xf numFmtId="10" fontId="2" fillId="6" borderId="0" xfId="0" applyNumberFormat="1" applyFont="1" applyFill="1"/>
    <xf numFmtId="0" fontId="2" fillId="6" borderId="0" xfId="0" applyFont="1" applyFill="1"/>
    <xf numFmtId="10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0" fontId="2" fillId="5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10" fontId="2" fillId="0" borderId="0" xfId="0" applyNumberFormat="1" applyFont="1"/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0" fontId="0" fillId="0" borderId="2" xfId="0" applyNumberFormat="1" applyBorder="1"/>
    <xf numFmtId="0" fontId="5" fillId="0" borderId="2" xfId="0" applyFont="1" applyBorder="1" applyAlignment="1">
      <alignment horizontal="center"/>
    </xf>
    <xf numFmtId="10" fontId="1" fillId="0" borderId="0" xfId="0" applyNumberFormat="1" applyFont="1"/>
    <xf numFmtId="0" fontId="1" fillId="0" borderId="0" xfId="0" applyFont="1"/>
    <xf numFmtId="0" fontId="1" fillId="0" borderId="2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10" fontId="1" fillId="0" borderId="2" xfId="0" applyNumberFormat="1" applyFont="1" applyBorder="1"/>
    <xf numFmtId="0" fontId="1" fillId="0" borderId="2" xfId="0" applyFont="1" applyBorder="1"/>
  </cellXfs>
  <cellStyles count="1">
    <cellStyle name="Normal" xfId="0" builtinId="0"/>
  </cellStyles>
  <dxfs count="7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4" formatCode="0.00%"/>
    </dxf>
    <dxf>
      <numFmt numFmtId="3" formatCode="#,##0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  <dxf>
      <numFmt numFmtId="14" formatCode="0.00%"/>
    </dxf>
    <dxf>
      <numFmt numFmtId="3" formatCode="#,##0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4" formatCode="0.00%"/>
    </dxf>
    <dxf>
      <numFmt numFmtId="0" formatCode="General"/>
    </dxf>
    <dxf>
      <numFmt numFmtId="14" formatCode="0.00%"/>
    </dxf>
    <dxf>
      <numFmt numFmtId="3" formatCode="#,##0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4" formatCode="0.00%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" formatCode="0"/>
      <alignment horizontal="general" vertical="center" textRotation="0" wrapText="0" indent="0" justifyLastLine="0" shrinkToFit="0" readingOrder="0"/>
    </dxf>
    <dxf>
      <numFmt numFmtId="19" formatCode="dd/mm/yyyy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0" formatCode="dd/mmm/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H8" totalsRowShown="0" headerRowDxfId="60" dataDxfId="61">
  <tableColumns count="8">
    <tableColumn id="1" name="Transaction ID" dataDxfId="69"/>
    <tableColumn id="2" name="Date" dataDxfId="68"/>
    <tableColumn id="3" name="Country" dataDxfId="67"/>
    <tableColumn id="4" name="Branch" dataDxfId="66"/>
    <tableColumn id="5" name="Product" dataDxfId="65"/>
    <tableColumn id="6" name="Salesperson" dataDxfId="64"/>
    <tableColumn id="7" name="Sales" dataDxfId="63"/>
    <tableColumn id="8" name="Target" dataDxfId="6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6" totalsRowShown="0" headerRowDxfId="53" dataDxfId="54">
  <tableColumns count="5">
    <tableColumn id="1" name="Transaction ID" dataDxfId="59"/>
    <tableColumn id="2" name="Country" dataDxfId="58"/>
    <tableColumn id="3" name="Branch" dataDxfId="57"/>
    <tableColumn id="4" name="Product" dataDxfId="56"/>
    <tableColumn id="5" name="Sales" dataDxfId="55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6" totalsRowShown="0" headerRowDxfId="50">
  <tableColumns count="4">
    <tableColumn id="1" name="Transaction ID" dataDxfId="52"/>
    <tableColumn id="2" name="Country" dataDxfId="51"/>
    <tableColumn id="3" name="Sales Date" dataDxfId="49"/>
    <tableColumn id="4" name="Sales" dataDxfId="48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6" totalsRowShown="0" headerRowDxfId="44">
  <tableColumns count="3">
    <tableColumn id="1" name="Country" dataDxfId="47"/>
    <tableColumn id="2" name="Actual Sales" dataDxfId="46"/>
    <tableColumn id="3" name="Sales Target" dataDxfId="45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H1:J4" totalsRowShown="0" headerRowDxfId="40">
  <tableColumns count="3">
    <tableColumn id="1" name="Country" dataDxfId="43"/>
    <tableColumn id="2" name="Actual Sales" dataDxfId="42"/>
    <tableColumn id="3" name="Sales Target" dataDxfId="41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5" totalsRowShown="0" headerRowDxfId="36">
  <tableColumns count="6">
    <tableColumn id="1" name="Branch" dataDxfId="39"/>
    <tableColumn id="2" name="Actual Sales" dataDxfId="38"/>
    <tableColumn id="3" name="Sales Target" dataDxfId="37"/>
    <tableColumn id="4" name="Achievement_%" dataDxfId="35">
      <calculatedColumnFormula>Table6[[#This Row],[Actual Sales]]/Table6[[#This Row],[Sales Target]]</calculatedColumnFormula>
    </tableColumn>
    <tableColumn id="5" name="Variance" dataDxfId="34">
      <calculatedColumnFormula>Table6[[#This Row],[Actual Sales]]-Table6[[#This Row],[Sales Target]]</calculatedColumnFormula>
    </tableColumn>
    <tableColumn id="6" name="Variance_%" dataDxfId="33">
      <calculatedColumnFormula>Table6[[#This Row],[Variance]]/Table6[[#This Row],[Sales Target]]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5" totalsRowShown="0" headerRowDxfId="28" dataDxfId="29">
  <tableColumns count="5">
    <tableColumn id="1" name="Branch" dataDxfId="32"/>
    <tableColumn id="2" name="Actual Sales" dataDxfId="31"/>
    <tableColumn id="3" name="Target" dataDxfId="30"/>
    <tableColumn id="4" name="Achievement %" dataDxfId="27">
      <calculatedColumnFormula>Table7[[#This Row],[Actual Sales]]/Table7[[#This Row],[Target]]</calculatedColumnFormula>
    </tableColumn>
    <tableColumn id="5" name="Variance" dataDxfId="26">
      <calculatedColumnFormula>Table7[[#This Row],[Actual Sales]]-Table7[[#This Row],[Target]]</calculatedColumnFormula>
    </tableColumn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F5" totalsRowShown="0" headerRowDxfId="23">
  <tableColumns count="6">
    <tableColumn id="1" name="Country" dataDxfId="25"/>
    <tableColumn id="2" name="Actual Sales" dataDxfId="24"/>
    <tableColumn id="3" name="Sales Target" dataDxfId="22"/>
    <tableColumn id="4" name="Achievement_%" dataDxfId="21">
      <calculatedColumnFormula>Table8[[#This Row],[Actual Sales]]/Table8[[#This Row],[Sales Target]]</calculatedColumnFormula>
    </tableColumn>
    <tableColumn id="5" name="Variance" dataDxfId="20">
      <calculatedColumnFormula>Table8[[#This Row],[Actual Sales]]-Table8[[#This Row],[Sales Target]]</calculatedColumnFormula>
    </tableColumn>
    <tableColumn id="6" name="Variance_%" dataDxfId="19">
      <calculatedColumnFormula>Table8[[#This Row],[Variance]]/Table8[[#This Row],[Sales Target]]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I1:M4" totalsRowShown="0" headerRowDxfId="16">
  <tableColumns count="5">
    <tableColumn id="1" name="Nigeria_Branch" dataDxfId="18"/>
    <tableColumn id="2" name="Actual Sales" dataDxfId="17"/>
    <tableColumn id="3" name="Target" dataDxfId="15"/>
    <tableColumn id="4" name="Achievement_%" dataDxfId="14">
      <calculatedColumnFormula>Table9[[#This Row],[Actual Sales]]/Table9[[#This Row],[Target]]</calculatedColumnFormula>
    </tableColumn>
    <tableColumn id="5" name="Variance" dataDxfId="13">
      <calculatedColumnFormula>Table9[[#This Row],[Actual Sales]]-Table9[[#This Row],[Target]]</calculatedColumnFormula>
    </tableColumn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I7:M11" totalsRowShown="0" headerRowDxfId="10">
  <tableColumns count="5">
    <tableColumn id="1" name="Lagos_Product" dataDxfId="12"/>
    <tableColumn id="2" name="Actual Sales" dataDxfId="11"/>
    <tableColumn id="3" name="Target" dataDxfId="9"/>
    <tableColumn id="4" name="Achievement_%" dataDxfId="8">
      <calculatedColumnFormula>Table10[[#This Row],[Actual Sales]]/Table10[[#This Row],[Target]]</calculatedColumnFormula>
    </tableColumn>
    <tableColumn id="5" name="Variance" dataDxfId="7">
      <calculatedColumnFormula>Table10[[#This Row],[Actual Sales]]-Table10[[#This Row],[Target]]</calculatedColumnFormula>
    </tableColumn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id="12" name="Table12" displayName="Table12" ref="I14:M18" totalsRowShown="0" headerRowDxfId="0">
  <tableColumns count="5">
    <tableColumn id="1" name="Month" dataDxfId="5"/>
    <tableColumn id="2" name="Actual Sales" dataDxfId="4"/>
    <tableColumn id="3" name="Target" dataDxfId="3"/>
    <tableColumn id="4" name="Achievement_%" dataDxfId="2">
      <calculatedColumnFormula>Table12[[#This Row],[Actual Sales]]/Table12[[#This Row],[Target]]</calculatedColumnFormula>
    </tableColumn>
    <tableColumn id="5" name="Variance " dataDxfId="1">
      <calculatedColumnFormula>Table12[[#This Row],[Actual Sales]]-Table12[[#This Row],[Target]]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selection activeCell="M15" sqref="M15"/>
    </sheetView>
  </sheetViews>
  <sheetFormatPr defaultRowHeight="15" x14ac:dyDescent="0.25"/>
  <cols>
    <col min="1" max="1" width="15.5703125" customWidth="1"/>
    <col min="2" max="2" width="9.42578125" bestFit="1" customWidth="1"/>
    <col min="3" max="3" width="10.140625" customWidth="1"/>
    <col min="4" max="4" width="13.28515625" bestFit="1" customWidth="1"/>
    <col min="5" max="5" width="10" customWidth="1"/>
    <col min="6" max="6" width="13.85546875" customWidth="1"/>
    <col min="7" max="7" width="7.7109375" customWidth="1"/>
    <col min="8" max="8" width="8.7109375" customWidth="1"/>
    <col min="10" max="10" width="11.42578125" bestFit="1" customWidth="1"/>
    <col min="15" max="15" width="12" bestFit="1" customWidth="1"/>
    <col min="16" max="16" width="13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t="s">
        <v>29</v>
      </c>
      <c r="O1" t="s">
        <v>30</v>
      </c>
      <c r="P1" t="s">
        <v>31</v>
      </c>
    </row>
    <row r="2" spans="1:16" x14ac:dyDescent="0.25">
      <c r="A2" s="2" t="s">
        <v>8</v>
      </c>
      <c r="B2" s="3">
        <v>46296</v>
      </c>
      <c r="C2" s="2" t="s">
        <v>9</v>
      </c>
      <c r="D2" s="2" t="s">
        <v>10</v>
      </c>
      <c r="E2" s="2" t="s">
        <v>11</v>
      </c>
      <c r="F2" s="2" t="s">
        <v>12</v>
      </c>
      <c r="G2" s="4">
        <v>12000</v>
      </c>
      <c r="H2" s="4">
        <v>10000</v>
      </c>
      <c r="J2" t="b">
        <f>ISNUMBER(Table1[Date])</f>
        <v>1</v>
      </c>
      <c r="O2" s="5" t="s">
        <v>9</v>
      </c>
      <c r="P2" s="5" t="s">
        <v>10</v>
      </c>
    </row>
    <row r="3" spans="1:16" x14ac:dyDescent="0.25">
      <c r="A3" s="2" t="s">
        <v>13</v>
      </c>
      <c r="B3" s="3">
        <v>46297</v>
      </c>
      <c r="C3" s="2" t="s">
        <v>14</v>
      </c>
      <c r="D3" s="2" t="s">
        <v>15</v>
      </c>
      <c r="E3" s="2" t="s">
        <v>16</v>
      </c>
      <c r="F3" s="2" t="s">
        <v>17</v>
      </c>
      <c r="G3" s="4">
        <v>8000</v>
      </c>
      <c r="H3" s="4">
        <v>10000</v>
      </c>
      <c r="J3" t="b">
        <f>ISNUMBER(Table1[Date])</f>
        <v>1</v>
      </c>
      <c r="O3" s="6" t="s">
        <v>14</v>
      </c>
      <c r="P3" s="6" t="s">
        <v>15</v>
      </c>
    </row>
    <row r="4" spans="1:16" x14ac:dyDescent="0.25">
      <c r="A4" s="2" t="s">
        <v>18</v>
      </c>
      <c r="B4" s="3">
        <v>46298</v>
      </c>
      <c r="C4" s="2" t="s">
        <v>9</v>
      </c>
      <c r="D4" s="2" t="s">
        <v>19</v>
      </c>
      <c r="E4" s="2" t="s">
        <v>11</v>
      </c>
      <c r="F4" s="2" t="s">
        <v>20</v>
      </c>
      <c r="G4" s="4">
        <v>15000</v>
      </c>
      <c r="H4" s="4">
        <v>12000</v>
      </c>
      <c r="J4" t="b">
        <f>ISNUMBER(Table1[Date])</f>
        <v>1</v>
      </c>
      <c r="O4" s="6" t="s">
        <v>22</v>
      </c>
      <c r="P4" s="5" t="s">
        <v>19</v>
      </c>
    </row>
    <row r="5" spans="1:16" x14ac:dyDescent="0.25">
      <c r="A5" s="2" t="s">
        <v>21</v>
      </c>
      <c r="B5" s="3">
        <v>46299</v>
      </c>
      <c r="C5" s="2" t="s">
        <v>22</v>
      </c>
      <c r="D5" s="2" t="s">
        <v>23</v>
      </c>
      <c r="E5" s="2" t="s">
        <v>24</v>
      </c>
      <c r="F5" s="2" t="s">
        <v>25</v>
      </c>
      <c r="G5" s="4">
        <v>7000</v>
      </c>
      <c r="H5" s="4">
        <v>8000</v>
      </c>
      <c r="J5" t="b">
        <f>ISNUMBER(Table1[Date])</f>
        <v>1</v>
      </c>
      <c r="P5" s="6" t="s">
        <v>23</v>
      </c>
    </row>
    <row r="6" spans="1:16" x14ac:dyDescent="0.25">
      <c r="A6" s="2" t="s">
        <v>26</v>
      </c>
      <c r="B6" s="3">
        <v>46300</v>
      </c>
      <c r="C6" s="2" t="s">
        <v>14</v>
      </c>
      <c r="D6" s="2" t="s">
        <v>15</v>
      </c>
      <c r="E6" s="2" t="s">
        <v>11</v>
      </c>
      <c r="F6" s="2" t="s">
        <v>27</v>
      </c>
      <c r="G6" s="4">
        <v>11000</v>
      </c>
      <c r="H6" s="4">
        <v>9000</v>
      </c>
      <c r="J6" t="b">
        <f>ISNUMBER(Table1[Date])</f>
        <v>1</v>
      </c>
    </row>
    <row r="7" spans="1:16" x14ac:dyDescent="0.25">
      <c r="A7" s="2" t="s">
        <v>28</v>
      </c>
      <c r="B7" s="3">
        <v>46301</v>
      </c>
      <c r="C7" s="2" t="s">
        <v>9</v>
      </c>
      <c r="D7" s="2" t="s">
        <v>10</v>
      </c>
      <c r="E7" s="2" t="s">
        <v>16</v>
      </c>
      <c r="F7" s="2" t="s">
        <v>12</v>
      </c>
      <c r="G7" s="4">
        <v>9000</v>
      </c>
      <c r="H7" s="4">
        <v>10000</v>
      </c>
      <c r="J7" t="b">
        <f>ISNUMBER(Table1[Date])</f>
        <v>1</v>
      </c>
    </row>
    <row r="8" spans="1:16" x14ac:dyDescent="0.25">
      <c r="A8" s="2" t="s">
        <v>28</v>
      </c>
      <c r="B8" s="3">
        <v>46301</v>
      </c>
      <c r="C8" s="2" t="s">
        <v>9</v>
      </c>
      <c r="D8" s="2" t="s">
        <v>10</v>
      </c>
      <c r="E8" s="2" t="s">
        <v>16</v>
      </c>
      <c r="F8" s="2" t="s">
        <v>12</v>
      </c>
      <c r="G8" s="4">
        <v>9000</v>
      </c>
      <c r="H8" s="4">
        <v>10000</v>
      </c>
      <c r="J8" t="b">
        <f>ISNUMBER(Table1[Date])</f>
        <v>1</v>
      </c>
    </row>
  </sheetData>
  <conditionalFormatting sqref="A2:A8">
    <cfRule type="duplicateValues" dxfId="6" priority="1"/>
  </conditionalFormatting>
  <dataValidations count="1">
    <dataValidation type="list" allowBlank="1" showInputMessage="1" showErrorMessage="1" sqref="C2:C8">
      <formula1>$O$2:$O$4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"/>
  <sheetViews>
    <sheetView workbookViewId="0">
      <selection activeCell="I12" sqref="I12"/>
    </sheetView>
  </sheetViews>
  <sheetFormatPr defaultRowHeight="15" x14ac:dyDescent="0.25"/>
  <cols>
    <col min="1" max="1" width="18.140625" bestFit="1" customWidth="1"/>
    <col min="2" max="2" width="12.5703125" bestFit="1" customWidth="1"/>
    <col min="3" max="3" width="11.5703125" bestFit="1" customWidth="1"/>
    <col min="4" max="4" width="12.42578125" bestFit="1" customWidth="1"/>
    <col min="5" max="5" width="10.140625" bestFit="1" customWidth="1"/>
  </cols>
  <sheetData>
    <row r="1" spans="1: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</row>
    <row r="2" spans="1:5" x14ac:dyDescent="0.25">
      <c r="A2" s="2" t="s">
        <v>33</v>
      </c>
      <c r="B2" s="2" t="s">
        <v>9</v>
      </c>
      <c r="C2" s="2" t="s">
        <v>10</v>
      </c>
      <c r="D2" s="2" t="s">
        <v>11</v>
      </c>
      <c r="E2" s="4">
        <v>12000</v>
      </c>
    </row>
    <row r="3" spans="1:5" x14ac:dyDescent="0.25">
      <c r="A3" s="2" t="s">
        <v>34</v>
      </c>
      <c r="B3" s="2" t="s">
        <v>9</v>
      </c>
      <c r="C3" s="2" t="s">
        <v>10</v>
      </c>
      <c r="D3" s="2" t="s">
        <v>16</v>
      </c>
      <c r="E3" s="4">
        <v>8000</v>
      </c>
    </row>
    <row r="4" spans="1:5" x14ac:dyDescent="0.25">
      <c r="A4" s="2" t="s">
        <v>35</v>
      </c>
      <c r="B4" s="2" t="s">
        <v>9</v>
      </c>
      <c r="C4" s="2" t="s">
        <v>19</v>
      </c>
      <c r="D4" s="2" t="s">
        <v>11</v>
      </c>
      <c r="E4" s="4">
        <v>15000</v>
      </c>
    </row>
    <row r="5" spans="1:5" x14ac:dyDescent="0.25">
      <c r="A5" s="2" t="s">
        <v>36</v>
      </c>
      <c r="B5" s="2" t="s">
        <v>14</v>
      </c>
      <c r="C5" s="2" t="s">
        <v>15</v>
      </c>
      <c r="D5" s="2" t="s">
        <v>11</v>
      </c>
      <c r="E5" s="4">
        <v>9000</v>
      </c>
    </row>
    <row r="6" spans="1:5" x14ac:dyDescent="0.25">
      <c r="A6" s="7" t="s">
        <v>36</v>
      </c>
      <c r="B6" s="7" t="s">
        <v>14</v>
      </c>
      <c r="C6" s="7" t="s">
        <v>15</v>
      </c>
      <c r="D6" s="7" t="s">
        <v>16</v>
      </c>
      <c r="E6" s="8">
        <v>6000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F11" sqref="F11"/>
    </sheetView>
  </sheetViews>
  <sheetFormatPr defaultRowHeight="15" x14ac:dyDescent="0.25"/>
  <cols>
    <col min="1" max="1" width="18.140625" bestFit="1" customWidth="1"/>
    <col min="2" max="2" width="12.5703125" bestFit="1" customWidth="1"/>
    <col min="3" max="3" width="14.7109375" bestFit="1" customWidth="1"/>
    <col min="4" max="4" width="10.140625" bestFit="1" customWidth="1"/>
  </cols>
  <sheetData>
    <row r="1" spans="1:4" x14ac:dyDescent="0.25">
      <c r="A1" s="1" t="s">
        <v>0</v>
      </c>
      <c r="B1" s="1" t="s">
        <v>2</v>
      </c>
      <c r="C1" s="1" t="s">
        <v>37</v>
      </c>
      <c r="D1" s="1" t="s">
        <v>6</v>
      </c>
    </row>
    <row r="2" spans="1:4" x14ac:dyDescent="0.25">
      <c r="A2" s="2" t="s">
        <v>38</v>
      </c>
      <c r="B2" s="2" t="s">
        <v>9</v>
      </c>
      <c r="C2" s="9">
        <v>46300</v>
      </c>
      <c r="D2" s="10">
        <v>12000</v>
      </c>
    </row>
    <row r="3" spans="1:4" x14ac:dyDescent="0.25">
      <c r="A3" s="2" t="s">
        <v>39</v>
      </c>
      <c r="B3" s="2" t="s">
        <v>32</v>
      </c>
      <c r="C3" s="9">
        <v>46301</v>
      </c>
      <c r="D3" s="10">
        <v>8000</v>
      </c>
    </row>
    <row r="4" spans="1:4" x14ac:dyDescent="0.25">
      <c r="A4" s="2" t="s">
        <v>40</v>
      </c>
      <c r="B4" s="2" t="s">
        <v>14</v>
      </c>
      <c r="C4" s="9">
        <v>46183</v>
      </c>
      <c r="D4" s="10">
        <v>9000</v>
      </c>
    </row>
    <row r="5" spans="1:4" x14ac:dyDescent="0.25">
      <c r="A5" s="2" t="s">
        <v>41</v>
      </c>
      <c r="B5" s="2" t="s">
        <v>22</v>
      </c>
      <c r="C5" s="9">
        <v>46303</v>
      </c>
      <c r="D5" s="10">
        <v>7000</v>
      </c>
    </row>
    <row r="6" spans="1:4" x14ac:dyDescent="0.25">
      <c r="A6" s="2" t="s">
        <v>42</v>
      </c>
      <c r="B6" s="2" t="s">
        <v>14</v>
      </c>
      <c r="C6" s="9">
        <v>46304</v>
      </c>
      <c r="D6" s="10">
        <v>11000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opLeftCell="B1" workbookViewId="0">
      <selection activeCell="H14" sqref="H14"/>
    </sheetView>
  </sheetViews>
  <sheetFormatPr defaultRowHeight="15" x14ac:dyDescent="0.25"/>
  <cols>
    <col min="1" max="1" width="10.140625" customWidth="1"/>
    <col min="2" max="2" width="13.7109375" customWidth="1"/>
    <col min="3" max="4" width="17.85546875" bestFit="1" customWidth="1"/>
    <col min="5" max="5" width="23.140625" bestFit="1" customWidth="1"/>
    <col min="8" max="8" width="12.5703125" customWidth="1"/>
    <col min="9" max="9" width="17.85546875" customWidth="1"/>
    <col min="10" max="10" width="17.85546875" bestFit="1" customWidth="1"/>
    <col min="11" max="11" width="23.28515625" bestFit="1" customWidth="1"/>
    <col min="12" max="12" width="22.140625" bestFit="1" customWidth="1"/>
  </cols>
  <sheetData>
    <row r="1" spans="1:12" x14ac:dyDescent="0.25">
      <c r="A1" s="1" t="s">
        <v>2</v>
      </c>
      <c r="B1" s="1" t="s">
        <v>43</v>
      </c>
      <c r="C1" s="1" t="s">
        <v>44</v>
      </c>
      <c r="H1" s="1" t="s">
        <v>2</v>
      </c>
      <c r="I1" s="1" t="s">
        <v>43</v>
      </c>
      <c r="J1" s="1" t="s">
        <v>44</v>
      </c>
    </row>
    <row r="2" spans="1:12" x14ac:dyDescent="0.25">
      <c r="A2" s="2" t="s">
        <v>9</v>
      </c>
      <c r="B2" s="4">
        <v>12000</v>
      </c>
      <c r="C2" s="4">
        <v>10000</v>
      </c>
      <c r="H2" s="2" t="s">
        <v>9</v>
      </c>
      <c r="I2" s="4">
        <v>24000</v>
      </c>
      <c r="J2" s="4">
        <v>20000</v>
      </c>
    </row>
    <row r="3" spans="1:12" x14ac:dyDescent="0.25">
      <c r="A3" s="2" t="s">
        <v>14</v>
      </c>
      <c r="B3" s="4">
        <v>8000</v>
      </c>
      <c r="C3" s="4">
        <v>10000</v>
      </c>
      <c r="H3" s="2" t="s">
        <v>14</v>
      </c>
      <c r="I3" s="4">
        <v>18000</v>
      </c>
      <c r="J3" s="4">
        <v>20000</v>
      </c>
    </row>
    <row r="4" spans="1:12" x14ac:dyDescent="0.25">
      <c r="A4" s="2" t="s">
        <v>22</v>
      </c>
      <c r="B4" s="4">
        <v>7000</v>
      </c>
      <c r="C4" s="4">
        <v>8000</v>
      </c>
      <c r="H4" s="2" t="s">
        <v>22</v>
      </c>
      <c r="I4" s="4">
        <v>12000</v>
      </c>
      <c r="J4" s="4">
        <v>15000</v>
      </c>
    </row>
    <row r="5" spans="1:12" x14ac:dyDescent="0.25">
      <c r="A5" s="2" t="s">
        <v>9</v>
      </c>
      <c r="B5" s="4">
        <v>15000</v>
      </c>
      <c r="C5" s="4">
        <v>12000</v>
      </c>
    </row>
    <row r="6" spans="1:12" x14ac:dyDescent="0.25">
      <c r="A6" s="2" t="s">
        <v>14</v>
      </c>
      <c r="B6" s="4">
        <v>11000</v>
      </c>
      <c r="C6" s="4">
        <v>9000</v>
      </c>
    </row>
    <row r="9" spans="1:12" x14ac:dyDescent="0.25">
      <c r="I9" s="12" t="s">
        <v>45</v>
      </c>
      <c r="J9" s="12" t="s">
        <v>46</v>
      </c>
      <c r="K9" s="12" t="s">
        <v>47</v>
      </c>
      <c r="L9" s="12" t="s">
        <v>48</v>
      </c>
    </row>
    <row r="10" spans="1:12" x14ac:dyDescent="0.25">
      <c r="C10" s="12" t="s">
        <v>45</v>
      </c>
      <c r="D10" s="12" t="s">
        <v>46</v>
      </c>
      <c r="E10" s="12" t="s">
        <v>47</v>
      </c>
      <c r="H10" s="13"/>
      <c r="I10" s="11">
        <f>SUM(Table5[Actual Sales])</f>
        <v>54000</v>
      </c>
      <c r="J10" s="11">
        <f>SUM(Table5[Sales Target])</f>
        <v>55000</v>
      </c>
      <c r="K10" s="14">
        <f>I10/J10</f>
        <v>0.98181818181818181</v>
      </c>
      <c r="L10" s="11">
        <f>I10-J10</f>
        <v>-1000</v>
      </c>
    </row>
    <row r="11" spans="1:12" x14ac:dyDescent="0.25">
      <c r="C11" s="11">
        <f>SUM(Table4[Actual Sales])</f>
        <v>53000</v>
      </c>
      <c r="D11" s="11">
        <f>SUM(Table4[Sales Target])</f>
        <v>49000</v>
      </c>
      <c r="E11" s="14">
        <f>C11/D11</f>
        <v>1.0816326530612246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G12" sqref="G12"/>
    </sheetView>
  </sheetViews>
  <sheetFormatPr defaultRowHeight="15" x14ac:dyDescent="0.25"/>
  <cols>
    <col min="1" max="1" width="13.28515625" bestFit="1" customWidth="1"/>
    <col min="2" max="3" width="13.7109375" customWidth="1"/>
    <col min="4" max="4" width="15.5703125" bestFit="1" customWidth="1"/>
    <col min="6" max="6" width="11.28515625" bestFit="1" customWidth="1"/>
    <col min="7" max="7" width="27.85546875" bestFit="1" customWidth="1"/>
  </cols>
  <sheetData>
    <row r="1" spans="1:7" x14ac:dyDescent="0.25">
      <c r="A1" s="1" t="s">
        <v>3</v>
      </c>
      <c r="B1" s="1" t="s">
        <v>43</v>
      </c>
      <c r="C1" s="1" t="s">
        <v>44</v>
      </c>
      <c r="D1" s="1" t="s">
        <v>51</v>
      </c>
      <c r="E1" s="1" t="s">
        <v>52</v>
      </c>
      <c r="F1" s="1" t="s">
        <v>53</v>
      </c>
    </row>
    <row r="2" spans="1:7" x14ac:dyDescent="0.25">
      <c r="A2" s="2" t="s">
        <v>10</v>
      </c>
      <c r="B2" s="4">
        <v>48000</v>
      </c>
      <c r="C2" s="4">
        <v>40000</v>
      </c>
      <c r="D2" s="13">
        <f>Table6[[#This Row],[Actual Sales]]/Table6[[#This Row],[Sales Target]]</f>
        <v>1.2</v>
      </c>
      <c r="E2">
        <f>Table6[[#This Row],[Actual Sales]]-Table6[[#This Row],[Sales Target]]</f>
        <v>8000</v>
      </c>
      <c r="F2" s="13">
        <f>Table6[[#This Row],[Variance]]/Table6[[#This Row],[Sales Target]]</f>
        <v>0.2</v>
      </c>
    </row>
    <row r="3" spans="1:7" x14ac:dyDescent="0.25">
      <c r="A3" s="2" t="s">
        <v>15</v>
      </c>
      <c r="B3" s="4">
        <v>36000</v>
      </c>
      <c r="C3" s="4">
        <v>45000</v>
      </c>
      <c r="D3" s="13">
        <f>Table6[[#This Row],[Actual Sales]]/Table6[[#This Row],[Sales Target]]</f>
        <v>0.8</v>
      </c>
      <c r="E3">
        <f>Table6[[#This Row],[Actual Sales]]-Table6[[#This Row],[Sales Target]]</f>
        <v>-9000</v>
      </c>
      <c r="F3" s="13">
        <f>Table6[[#This Row],[Variance]]/Table6[[#This Row],[Sales Target]]</f>
        <v>-0.2</v>
      </c>
    </row>
    <row r="4" spans="1:7" x14ac:dyDescent="0.25">
      <c r="A4" s="2" t="s">
        <v>23</v>
      </c>
      <c r="B4" s="4">
        <v>32000</v>
      </c>
      <c r="C4" s="4">
        <v>35000</v>
      </c>
      <c r="D4" s="13">
        <f>Table6[[#This Row],[Actual Sales]]/Table6[[#This Row],[Sales Target]]</f>
        <v>0.91428571428571426</v>
      </c>
      <c r="E4">
        <f>Table6[[#This Row],[Actual Sales]]-Table6[[#This Row],[Sales Target]]</f>
        <v>-3000</v>
      </c>
      <c r="F4" s="13">
        <f>Table6[[#This Row],[Variance]]/Table6[[#This Row],[Sales Target]]</f>
        <v>-8.5714285714285715E-2</v>
      </c>
    </row>
    <row r="5" spans="1:7" x14ac:dyDescent="0.25">
      <c r="A5" s="16" t="s">
        <v>49</v>
      </c>
      <c r="B5" s="17">
        <f>SUM(B2:B4)</f>
        <v>116000</v>
      </c>
      <c r="C5" s="17">
        <f>SUM(C2:C4)</f>
        <v>120000</v>
      </c>
      <c r="D5" s="18">
        <f>Table6[[#This Row],[Actual Sales]]/Table6[[#This Row],[Sales Target]]</f>
        <v>0.96666666666666667</v>
      </c>
      <c r="E5" s="19">
        <f>Table6[[#This Row],[Actual Sales]]-Table6[[#This Row],[Sales Target]]</f>
        <v>-4000</v>
      </c>
      <c r="F5" s="18">
        <f>Table6[[#This Row],[Variance]]/Table6[[#This Row],[Sales Target]]</f>
        <v>-3.3333333333333333E-2</v>
      </c>
    </row>
    <row r="7" spans="1:7" x14ac:dyDescent="0.25">
      <c r="G7" s="12" t="s">
        <v>50</v>
      </c>
    </row>
    <row r="8" spans="1:7" x14ac:dyDescent="0.25">
      <c r="G8" s="11" t="s">
        <v>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G19" sqref="G19"/>
    </sheetView>
  </sheetViews>
  <sheetFormatPr defaultRowHeight="15" x14ac:dyDescent="0.25"/>
  <cols>
    <col min="1" max="1" width="13.28515625" bestFit="1" customWidth="1"/>
    <col min="2" max="2" width="16.140625" bestFit="1" customWidth="1"/>
    <col min="3" max="3" width="11.140625" bestFit="1" customWidth="1"/>
    <col min="4" max="4" width="19.5703125" bestFit="1" customWidth="1"/>
    <col min="5" max="5" width="13.28515625" bestFit="1" customWidth="1"/>
    <col min="7" max="7" width="47.5703125" bestFit="1" customWidth="1"/>
  </cols>
  <sheetData>
    <row r="1" spans="1:7" x14ac:dyDescent="0.25">
      <c r="A1" s="1" t="s">
        <v>3</v>
      </c>
      <c r="B1" s="1" t="s">
        <v>43</v>
      </c>
      <c r="C1" s="1" t="s">
        <v>7</v>
      </c>
      <c r="D1" s="1" t="s">
        <v>54</v>
      </c>
      <c r="E1" s="1" t="s">
        <v>52</v>
      </c>
    </row>
    <row r="2" spans="1:7" x14ac:dyDescent="0.25">
      <c r="A2" s="2" t="s">
        <v>10</v>
      </c>
      <c r="B2" s="4">
        <v>48000</v>
      </c>
      <c r="C2" s="4">
        <v>40000</v>
      </c>
      <c r="D2" s="20">
        <f>Table7[[#This Row],[Actual Sales]]/Table7[[#This Row],[Target]]</f>
        <v>1.2</v>
      </c>
      <c r="E2" s="4">
        <f>Table7[[#This Row],[Actual Sales]]-Table7[[#This Row],[Target]]</f>
        <v>8000</v>
      </c>
    </row>
    <row r="3" spans="1:7" x14ac:dyDescent="0.25">
      <c r="A3" s="2" t="s">
        <v>15</v>
      </c>
      <c r="B3" s="4">
        <v>36000</v>
      </c>
      <c r="C3" s="4">
        <v>45000</v>
      </c>
      <c r="D3" s="20">
        <f>Table7[[#This Row],[Actual Sales]]/Table7[[#This Row],[Target]]</f>
        <v>0.8</v>
      </c>
      <c r="E3" s="4">
        <f>Table7[[#This Row],[Actual Sales]]-Table7[[#This Row],[Target]]</f>
        <v>-9000</v>
      </c>
    </row>
    <row r="4" spans="1:7" x14ac:dyDescent="0.25">
      <c r="A4" s="2" t="s">
        <v>23</v>
      </c>
      <c r="B4" s="4">
        <v>32000</v>
      </c>
      <c r="C4" s="4">
        <v>35000</v>
      </c>
      <c r="D4" s="20">
        <f>Table7[[#This Row],[Actual Sales]]/Table7[[#This Row],[Target]]</f>
        <v>0.91428571428571426</v>
      </c>
      <c r="E4" s="4">
        <f>Table7[[#This Row],[Actual Sales]]-Table7[[#This Row],[Target]]</f>
        <v>-3000</v>
      </c>
    </row>
    <row r="5" spans="1:7" x14ac:dyDescent="0.25">
      <c r="A5" s="21" t="s">
        <v>49</v>
      </c>
      <c r="B5" s="22">
        <f>SUM(B2:B4)</f>
        <v>116000</v>
      </c>
      <c r="C5" s="22">
        <f>SUM(C2:C4)</f>
        <v>120000</v>
      </c>
      <c r="D5" s="23">
        <f>Table7[[#This Row],[Actual Sales]]/Table7[[#This Row],[Target]]</f>
        <v>0.96666666666666667</v>
      </c>
      <c r="E5" s="22">
        <f>Table7[[#This Row],[Actual Sales]]-Table7[[#This Row],[Target]]</f>
        <v>-4000</v>
      </c>
    </row>
    <row r="7" spans="1:7" x14ac:dyDescent="0.25">
      <c r="G7" s="24" t="s">
        <v>55</v>
      </c>
    </row>
    <row r="8" spans="1:7" x14ac:dyDescent="0.25">
      <c r="G8" s="25" t="s">
        <v>10</v>
      </c>
    </row>
    <row r="9" spans="1:7" x14ac:dyDescent="0.25">
      <c r="G9" s="26" t="s">
        <v>57</v>
      </c>
    </row>
    <row r="10" spans="1:7" x14ac:dyDescent="0.25">
      <c r="G10" s="26" t="s">
        <v>59</v>
      </c>
    </row>
    <row r="13" spans="1:7" x14ac:dyDescent="0.25">
      <c r="G13" s="27" t="s">
        <v>56</v>
      </c>
    </row>
    <row r="14" spans="1:7" x14ac:dyDescent="0.25">
      <c r="G14" s="28" t="s">
        <v>15</v>
      </c>
    </row>
    <row r="15" spans="1:7" x14ac:dyDescent="0.25">
      <c r="G15" s="29" t="s">
        <v>58</v>
      </c>
    </row>
    <row r="16" spans="1:7" x14ac:dyDescent="0.25">
      <c r="G16" s="29" t="s">
        <v>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P13" sqref="P13"/>
    </sheetView>
  </sheetViews>
  <sheetFormatPr defaultRowHeight="15" x14ac:dyDescent="0.25"/>
  <cols>
    <col min="1" max="1" width="12.5703125" bestFit="1" customWidth="1"/>
    <col min="2" max="3" width="16.140625" bestFit="1" customWidth="1"/>
    <col min="4" max="4" width="15.5703125" bestFit="1" customWidth="1"/>
    <col min="5" max="5" width="8.7109375" bestFit="1" customWidth="1"/>
    <col min="6" max="6" width="11.28515625" bestFit="1" customWidth="1"/>
    <col min="9" max="9" width="14.5703125" bestFit="1" customWidth="1"/>
    <col min="10" max="10" width="11.5703125" bestFit="1" customWidth="1"/>
    <col min="11" max="11" width="8.140625" bestFit="1" customWidth="1"/>
    <col min="12" max="12" width="15.5703125" bestFit="1" customWidth="1"/>
    <col min="13" max="13" width="8.7109375" bestFit="1" customWidth="1"/>
  </cols>
  <sheetData>
    <row r="1" spans="1:13" x14ac:dyDescent="0.25">
      <c r="A1" s="1" t="s">
        <v>2</v>
      </c>
      <c r="B1" s="1" t="s">
        <v>43</v>
      </c>
      <c r="C1" s="1" t="s">
        <v>44</v>
      </c>
      <c r="D1" s="1" t="s">
        <v>51</v>
      </c>
      <c r="E1" s="1" t="s">
        <v>52</v>
      </c>
      <c r="F1" s="1" t="s">
        <v>53</v>
      </c>
      <c r="I1" s="1" t="s">
        <v>64</v>
      </c>
      <c r="J1" s="1" t="s">
        <v>43</v>
      </c>
      <c r="K1" s="1" t="s">
        <v>7</v>
      </c>
      <c r="L1" s="1" t="s">
        <v>51</v>
      </c>
      <c r="M1" s="1" t="s">
        <v>52</v>
      </c>
    </row>
    <row r="2" spans="1:13" x14ac:dyDescent="0.25">
      <c r="A2" s="2" t="s">
        <v>9</v>
      </c>
      <c r="B2" s="4">
        <v>220000</v>
      </c>
      <c r="C2" s="4">
        <v>200000</v>
      </c>
      <c r="D2" s="13">
        <f>Table8[[#This Row],[Actual Sales]]/Table8[[#This Row],[Sales Target]]</f>
        <v>1.1000000000000001</v>
      </c>
      <c r="E2">
        <f>Table8[[#This Row],[Actual Sales]]-Table8[[#This Row],[Sales Target]]</f>
        <v>20000</v>
      </c>
      <c r="F2" s="13">
        <f>Table8[[#This Row],[Variance]]/Table8[[#This Row],[Sales Target]]</f>
        <v>0.1</v>
      </c>
      <c r="I2" s="7" t="s">
        <v>15</v>
      </c>
      <c r="J2" s="8">
        <v>70000</v>
      </c>
      <c r="K2" s="8">
        <v>100000</v>
      </c>
      <c r="L2" s="37">
        <f>Table9[[#This Row],[Actual Sales]]/Table9[[#This Row],[Target]]</f>
        <v>0.7</v>
      </c>
      <c r="M2" s="38">
        <f>Table9[[#This Row],[Actual Sales]]-Table9[[#This Row],[Target]]</f>
        <v>-30000</v>
      </c>
    </row>
    <row r="3" spans="1:13" x14ac:dyDescent="0.25">
      <c r="A3" s="2" t="s">
        <v>14</v>
      </c>
      <c r="B3" s="4">
        <v>180000</v>
      </c>
      <c r="C3" s="4">
        <v>240000</v>
      </c>
      <c r="D3" s="13">
        <f>Table8[[#This Row],[Actual Sales]]/Table8[[#This Row],[Sales Target]]</f>
        <v>0.75</v>
      </c>
      <c r="E3">
        <f>Table8[[#This Row],[Actual Sales]]-Table8[[#This Row],[Sales Target]]</f>
        <v>-60000</v>
      </c>
      <c r="F3" s="13">
        <f>Table8[[#This Row],[Variance]]/Table8[[#This Row],[Sales Target]]</f>
        <v>-0.25</v>
      </c>
      <c r="I3" s="2" t="s">
        <v>62</v>
      </c>
      <c r="J3" s="4">
        <v>65000</v>
      </c>
      <c r="K3" s="4">
        <v>80000</v>
      </c>
      <c r="L3" s="13">
        <f>Table9[[#This Row],[Actual Sales]]/Table9[[#This Row],[Target]]</f>
        <v>0.8125</v>
      </c>
      <c r="M3">
        <f>Table9[[#This Row],[Actual Sales]]-Table9[[#This Row],[Target]]</f>
        <v>-15000</v>
      </c>
    </row>
    <row r="4" spans="1:13" x14ac:dyDescent="0.25">
      <c r="A4" s="2" t="s">
        <v>22</v>
      </c>
      <c r="B4" s="4">
        <v>150000</v>
      </c>
      <c r="C4" s="4">
        <v>160000</v>
      </c>
      <c r="D4" s="13">
        <f>Table8[[#This Row],[Actual Sales]]/Table8[[#This Row],[Sales Target]]</f>
        <v>0.9375</v>
      </c>
      <c r="E4">
        <f>Table8[[#This Row],[Actual Sales]]-Table8[[#This Row],[Sales Target]]</f>
        <v>-10000</v>
      </c>
      <c r="F4" s="13">
        <f>Table8[[#This Row],[Variance]]/Table8[[#This Row],[Sales Target]]</f>
        <v>-6.25E-2</v>
      </c>
      <c r="I4" s="2" t="s">
        <v>63</v>
      </c>
      <c r="J4" s="4">
        <v>45000</v>
      </c>
      <c r="K4" s="4">
        <v>60000</v>
      </c>
      <c r="L4" s="13">
        <f>Table9[[#This Row],[Actual Sales]]/Table9[[#This Row],[Target]]</f>
        <v>0.75</v>
      </c>
      <c r="M4">
        <f>Table9[[#This Row],[Actual Sales]]-Table9[[#This Row],[Target]]</f>
        <v>-15000</v>
      </c>
    </row>
    <row r="5" spans="1:13" x14ac:dyDescent="0.25">
      <c r="A5" s="2" t="s">
        <v>61</v>
      </c>
      <c r="B5" s="4">
        <v>195000</v>
      </c>
      <c r="C5" s="4">
        <v>180000</v>
      </c>
      <c r="D5" s="13">
        <f>Table8[[#This Row],[Actual Sales]]/Table8[[#This Row],[Sales Target]]</f>
        <v>1.0833333333333333</v>
      </c>
      <c r="E5">
        <f>Table8[[#This Row],[Actual Sales]]-Table8[[#This Row],[Sales Target]]</f>
        <v>15000</v>
      </c>
      <c r="F5" s="13">
        <f>Table8[[#This Row],[Variance]]/Table8[[#This Row],[Sales Target]]</f>
        <v>8.3333333333333329E-2</v>
      </c>
      <c r="I5" s="21"/>
      <c r="J5" s="22"/>
      <c r="K5" s="22"/>
      <c r="L5" s="30"/>
      <c r="M5" s="31"/>
    </row>
    <row r="7" spans="1:13" x14ac:dyDescent="0.25">
      <c r="I7" s="1" t="s">
        <v>68</v>
      </c>
      <c r="J7" s="1" t="s">
        <v>43</v>
      </c>
      <c r="K7" s="1" t="s">
        <v>7</v>
      </c>
      <c r="L7" s="1" t="s">
        <v>51</v>
      </c>
      <c r="M7" s="1" t="s">
        <v>52</v>
      </c>
    </row>
    <row r="8" spans="1:13" x14ac:dyDescent="0.25">
      <c r="I8" s="2" t="s">
        <v>65</v>
      </c>
      <c r="J8" s="4">
        <v>35000</v>
      </c>
      <c r="K8" s="4">
        <v>40000</v>
      </c>
      <c r="L8" s="13">
        <f>Table10[[#This Row],[Actual Sales]]/Table10[[#This Row],[Target]]</f>
        <v>0.875</v>
      </c>
      <c r="M8">
        <f>Table10[[#This Row],[Actual Sales]]-Table10[[#This Row],[Target]]</f>
        <v>-5000</v>
      </c>
    </row>
    <row r="9" spans="1:13" x14ac:dyDescent="0.25">
      <c r="I9" s="2" t="s">
        <v>66</v>
      </c>
      <c r="J9" s="4">
        <v>20000</v>
      </c>
      <c r="K9" s="4">
        <v>25000</v>
      </c>
      <c r="L9" s="13">
        <f>Table10[[#This Row],[Actual Sales]]/Table10[[#This Row],[Target]]</f>
        <v>0.8</v>
      </c>
      <c r="M9">
        <f>Table10[[#This Row],[Actual Sales]]-Table10[[#This Row],[Target]]</f>
        <v>-5000</v>
      </c>
    </row>
    <row r="10" spans="1:13" x14ac:dyDescent="0.25">
      <c r="I10" s="7" t="s">
        <v>67</v>
      </c>
      <c r="J10" s="8">
        <v>15000</v>
      </c>
      <c r="K10" s="8">
        <v>35000</v>
      </c>
      <c r="L10" s="37">
        <f>Table10[[#This Row],[Actual Sales]]/Table10[[#This Row],[Target]]</f>
        <v>0.42857142857142855</v>
      </c>
      <c r="M10" s="38">
        <f>Table10[[#This Row],[Actual Sales]]-Table10[[#This Row],[Target]]</f>
        <v>-20000</v>
      </c>
    </row>
    <row r="11" spans="1:13" x14ac:dyDescent="0.25">
      <c r="I11" s="2" t="s">
        <v>49</v>
      </c>
      <c r="J11" s="4">
        <f>SUM(J8:J10)</f>
        <v>70000</v>
      </c>
      <c r="K11" s="4">
        <f>SUM(K8:K10)</f>
        <v>100000</v>
      </c>
      <c r="L11" s="13">
        <f>Table10[[#This Row],[Actual Sales]]/Table10[[#This Row],[Target]]</f>
        <v>0.7</v>
      </c>
      <c r="M11">
        <f>Table10[[#This Row],[Actual Sales]]-Table10[[#This Row],[Target]]</f>
        <v>-30000</v>
      </c>
    </row>
    <row r="13" spans="1:13" x14ac:dyDescent="0.25">
      <c r="I13" s="36" t="s">
        <v>74</v>
      </c>
      <c r="J13" s="36"/>
      <c r="K13" s="36"/>
      <c r="L13" s="36"/>
      <c r="M13" s="36"/>
    </row>
    <row r="14" spans="1:13" x14ac:dyDescent="0.25">
      <c r="I14" s="32" t="s">
        <v>69</v>
      </c>
      <c r="J14" s="32" t="s">
        <v>43</v>
      </c>
      <c r="K14" s="32" t="s">
        <v>7</v>
      </c>
      <c r="L14" s="32" t="s">
        <v>51</v>
      </c>
      <c r="M14" s="32" t="s">
        <v>75</v>
      </c>
    </row>
    <row r="15" spans="1:13" x14ac:dyDescent="0.25">
      <c r="I15" s="33" t="s">
        <v>70</v>
      </c>
      <c r="J15" s="34">
        <v>30000</v>
      </c>
      <c r="K15" s="34">
        <v>35000</v>
      </c>
      <c r="L15" s="35">
        <f>Table12[[#This Row],[Actual Sales]]/Table12[[#This Row],[Target]]</f>
        <v>0.8571428571428571</v>
      </c>
      <c r="M15" s="15">
        <f>Table12[[#This Row],[Actual Sales]]-Table12[[#This Row],[Target]]</f>
        <v>-5000</v>
      </c>
    </row>
    <row r="16" spans="1:13" x14ac:dyDescent="0.25">
      <c r="I16" s="33" t="s">
        <v>71</v>
      </c>
      <c r="J16" s="34">
        <v>32000</v>
      </c>
      <c r="K16" s="34">
        <v>35000</v>
      </c>
      <c r="L16" s="35">
        <f>Table12[[#This Row],[Actual Sales]]/Table12[[#This Row],[Target]]</f>
        <v>0.91428571428571426</v>
      </c>
      <c r="M16" s="15">
        <f>Table12[[#This Row],[Actual Sales]]-Table12[[#This Row],[Target]]</f>
        <v>-3000</v>
      </c>
    </row>
    <row r="17" spans="9:13" x14ac:dyDescent="0.25">
      <c r="I17" s="33" t="s">
        <v>72</v>
      </c>
      <c r="J17" s="34">
        <v>28000</v>
      </c>
      <c r="K17" s="34">
        <v>35000</v>
      </c>
      <c r="L17" s="35">
        <f>Table12[[#This Row],[Actual Sales]]/Table12[[#This Row],[Target]]</f>
        <v>0.8</v>
      </c>
      <c r="M17" s="15">
        <f>Table12[[#This Row],[Actual Sales]]-Table12[[#This Row],[Target]]</f>
        <v>-7000</v>
      </c>
    </row>
    <row r="18" spans="9:13" x14ac:dyDescent="0.25">
      <c r="I18" s="39" t="s">
        <v>73</v>
      </c>
      <c r="J18" s="40">
        <v>15000</v>
      </c>
      <c r="K18" s="40">
        <v>35000</v>
      </c>
      <c r="L18" s="41">
        <f>Table12[[#This Row],[Actual Sales]]/Table12[[#This Row],[Target]]</f>
        <v>0.42857142857142855</v>
      </c>
      <c r="M18" s="42">
        <f>Table12[[#This Row],[Actual Sales]]-Table12[[#This Row],[Target]]</f>
        <v>-20000</v>
      </c>
    </row>
  </sheetData>
  <mergeCells count="1">
    <mergeCell ref="I13:M13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Dataset_001</vt:lpstr>
      <vt:lpstr>Dataset_002</vt:lpstr>
      <vt:lpstr>Dataset_003</vt:lpstr>
      <vt:lpstr>KPI_Calculations</vt:lpstr>
      <vt:lpstr>KPI_Calculations_001</vt:lpstr>
      <vt:lpstr>Analyze_Performace</vt:lpstr>
      <vt:lpstr>Performace_Analysis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2026-10-15T11:33:46Z</dcterms:created>
  <dcterms:modified xsi:type="dcterms:W3CDTF">2026-10-15T13:52:59Z</dcterms:modified>
</cp:coreProperties>
</file>