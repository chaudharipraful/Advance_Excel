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3\"/>
    </mc:Choice>
  </mc:AlternateContent>
  <bookViews>
    <workbookView xWindow="0" yWindow="0" windowWidth="20490" windowHeight="6900" activeTab="1"/>
  </bookViews>
  <sheets>
    <sheet name="Business_Problem_001" sheetId="1" r:id="rId1"/>
    <sheet name="Business_Problem_00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2" l="1"/>
  <c r="L22" i="2"/>
  <c r="L19" i="2"/>
  <c r="L18" i="2"/>
  <c r="L17" i="2"/>
  <c r="I2" i="2"/>
  <c r="I3" i="2"/>
  <c r="I4" i="2"/>
  <c r="I5" i="2"/>
  <c r="L14" i="2" s="1"/>
  <c r="I6" i="2"/>
  <c r="I7" i="2"/>
  <c r="I8" i="2"/>
  <c r="I9" i="2"/>
  <c r="I10" i="2"/>
  <c r="I11" i="2"/>
  <c r="M11" i="2"/>
  <c r="M8" i="2"/>
  <c r="M5" i="2"/>
  <c r="L2" i="2"/>
  <c r="F2" i="1" l="1"/>
  <c r="F3" i="1"/>
  <c r="F4" i="1"/>
  <c r="F5" i="1"/>
  <c r="F6" i="1"/>
</calcChain>
</file>

<file path=xl/comments1.xml><?xml version="1.0" encoding="utf-8"?>
<comments xmlns="http://schemas.openxmlformats.org/spreadsheetml/2006/main">
  <authors>
    <author>Praful Chaudhari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 xml:space="preserve">Praful Chaudhari:
</t>
        </r>
        <r>
          <rPr>
            <sz val="9"/>
            <color indexed="81"/>
            <rFont val="Tahoma"/>
            <family val="2"/>
          </rPr>
          <t xml:space="preserve">
A company has this rule for Sales Bonus Eligibility:
A salesperson is eligible only if all three conditions are met:
Sales &gt;= Target
Customer Rating &gt;= 4
At least 50 Leads
Otherwise → Not Eligible</t>
        </r>
      </text>
    </comment>
  </commentList>
</comments>
</file>

<file path=xl/comments2.xml><?xml version="1.0" encoding="utf-8"?>
<comments xmlns="http://schemas.openxmlformats.org/spreadsheetml/2006/main">
  <authors>
    <author>Praful Chaudhari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Praful Chaudhari:</t>
        </r>
        <r>
          <rPr>
            <sz val="9"/>
            <color indexed="81"/>
            <rFont val="Tahoma"/>
            <family val="2"/>
          </rPr>
          <t xml:space="preserve">
Total Sales generated in Kenya.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</rPr>
          <t>Praful Chaudhari:</t>
        </r>
        <r>
          <rPr>
            <sz val="9"/>
            <color indexed="81"/>
            <rFont val="Tahoma"/>
            <family val="2"/>
          </rPr>
          <t xml:space="preserve">
Total Insurance Sales generated in Kenya.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</rPr>
          <t>Praful Chaudhari:</t>
        </r>
        <r>
          <rPr>
            <sz val="9"/>
            <color indexed="81"/>
            <rFont val="Tahoma"/>
            <family val="2"/>
          </rPr>
          <t xml:space="preserve">
Count Achieved — Kenya
How many Kenyan salespeople have Status = Achieved?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Praful Chaudhari:</t>
        </r>
        <r>
          <rPr>
            <sz val="9"/>
            <color indexed="81"/>
            <rFont val="Tahoma"/>
            <family val="2"/>
          </rPr>
          <t xml:space="preserve">
Average Sales for Kenyan Insurance transactions</t>
        </r>
      </text>
    </comment>
    <comment ref="L14" authorId="0" shapeId="0">
      <text>
        <r>
          <rPr>
            <b/>
            <sz val="9"/>
            <color indexed="81"/>
            <rFont val="Tahoma"/>
            <family val="2"/>
          </rPr>
          <t xml:space="preserve">Praful Chaudhari:
</t>
        </r>
        <r>
          <rPr>
            <sz val="9"/>
            <color indexed="81"/>
            <rFont val="Tahoma"/>
            <family val="2"/>
          </rPr>
          <t xml:space="preserve">
Using the following rule:
Sales &gt;= Target AND Rating &gt;= 4 AND Leads &gt;= 50
How many salespeople are Bonus Eligible?</t>
        </r>
      </text>
    </comment>
    <comment ref="K22" authorId="0" shapeId="0">
      <text>
        <r>
          <rPr>
            <b/>
            <sz val="9"/>
            <color indexed="81"/>
            <rFont val="Tahoma"/>
            <family val="2"/>
          </rPr>
          <t>Praful Chaudhari:</t>
        </r>
        <r>
          <rPr>
            <sz val="9"/>
            <color indexed="81"/>
            <rFont val="Tahoma"/>
            <family val="2"/>
          </rPr>
          <t xml:space="preserve">
Highest sales country.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Praful Chaudhari:</t>
        </r>
        <r>
          <rPr>
            <sz val="9"/>
            <color indexed="81"/>
            <rFont val="Tahoma"/>
            <family val="2"/>
          </rPr>
          <t xml:space="preserve">
Highest total sales countrywise.
</t>
        </r>
      </text>
    </comment>
  </commentList>
</comments>
</file>

<file path=xl/sharedStrings.xml><?xml version="1.0" encoding="utf-8"?>
<sst xmlns="http://schemas.openxmlformats.org/spreadsheetml/2006/main" count="88" uniqueCount="39">
  <si>
    <t>Salesperson</t>
  </si>
  <si>
    <t>Sales</t>
  </si>
  <si>
    <t>Target</t>
  </si>
  <si>
    <t>Rating</t>
  </si>
  <si>
    <t>Leads</t>
  </si>
  <si>
    <t>A</t>
  </si>
  <si>
    <t>B</t>
  </si>
  <si>
    <t>C</t>
  </si>
  <si>
    <t>D</t>
  </si>
  <si>
    <t>E</t>
  </si>
  <si>
    <t>Sales_Bonus_Eligibility</t>
  </si>
  <si>
    <t>Country</t>
  </si>
  <si>
    <t>Product</t>
  </si>
  <si>
    <t>Status</t>
  </si>
  <si>
    <t>Amit</t>
  </si>
  <si>
    <t>Kenya</t>
  </si>
  <si>
    <t>Insurance</t>
  </si>
  <si>
    <t>Achieved</t>
  </si>
  <si>
    <t>Priya</t>
  </si>
  <si>
    <t>Loans</t>
  </si>
  <si>
    <t>Not Achieved</t>
  </si>
  <si>
    <t>John</t>
  </si>
  <si>
    <t>Nigeria</t>
  </si>
  <si>
    <t>Sarah</t>
  </si>
  <si>
    <t>David</t>
  </si>
  <si>
    <t>Mary</t>
  </si>
  <si>
    <t>Tanzania</t>
  </si>
  <si>
    <t>Peter</t>
  </si>
  <si>
    <t>Grace</t>
  </si>
  <si>
    <t>James</t>
  </si>
  <si>
    <t>Lucy</t>
  </si>
  <si>
    <t>Total_Sales</t>
  </si>
  <si>
    <t>Total_Count</t>
  </si>
  <si>
    <t>Average</t>
  </si>
  <si>
    <t>Eligible</t>
  </si>
  <si>
    <t>Bonus_Eligibility</t>
  </si>
  <si>
    <t>Total_Persons</t>
  </si>
  <si>
    <t>Highest_Sales_Generated_Country</t>
  </si>
  <si>
    <t>Highest_sale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</si>
</sst>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numFmt numFmtId="0" formatCode="General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6" totalsRowShown="0" headerRowDxfId="16">
  <tableColumns count="6">
    <tableColumn id="1" name="Salesperson" dataDxfId="15"/>
    <tableColumn id="2" name="Sales" dataDxfId="14"/>
    <tableColumn id="3" name="Target" dataDxfId="13"/>
    <tableColumn id="4" name="Rating" dataDxfId="12"/>
    <tableColumn id="5" name="Leads" dataDxfId="11"/>
    <tableColumn id="6" name="Sales_Bonus_Eligibility" dataDxfId="10">
      <calculatedColumnFormula>IF(AND(Table1[[#This Row],[Sales]]&gt;=Table1[[#This Row],[Target]], Table1[[#This Row],[Rating]]&gt;=4, Table1[[#This Row],[Leads]]&gt;=50), "Eligible", "Not Eligible")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1" totalsRowShown="0" headerRowDxfId="9">
  <tableColumns count="9">
    <tableColumn id="1" name="Salesperson" dataDxfId="8"/>
    <tableColumn id="2" name="Country" dataDxfId="7"/>
    <tableColumn id="3" name="Product" dataDxfId="6"/>
    <tableColumn id="4" name="Sales" dataDxfId="5"/>
    <tableColumn id="5" name="Target" dataDxfId="4"/>
    <tableColumn id="6" name="Rating" dataDxfId="3"/>
    <tableColumn id="7" name="Leads" dataDxfId="2"/>
    <tableColumn id="8" name="Status" dataDxfId="1"/>
    <tableColumn id="9" name="Bonus_Eligibility" dataDxfId="0">
      <calculatedColumnFormula>IF(AND(Table2[[#This Row],[Sales]]&gt;=Table2[[#This Row],[Target]], Table2[[#This Row],[Rating]]&gt;=4, Table2[[#This Row],[Leads]]&gt;=50), "Eligible", "Not_Eligible")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>
      <selection activeCell="F11" sqref="F11"/>
    </sheetView>
  </sheetViews>
  <sheetFormatPr defaultRowHeight="15" x14ac:dyDescent="0.25"/>
  <cols>
    <col min="1" max="1" width="11.7109375" bestFit="1" customWidth="1"/>
    <col min="2" max="3" width="8.140625" bestFit="1" customWidth="1"/>
    <col min="4" max="4" width="6.5703125" bestFit="1" customWidth="1"/>
    <col min="5" max="5" width="6" bestFit="1" customWidth="1"/>
    <col min="6" max="6" width="21.7109375" bestFit="1" customWidth="1"/>
    <col min="16" max="16" width="19.710937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</row>
    <row r="2" spans="1:6" x14ac:dyDescent="0.25">
      <c r="A2" s="3" t="s">
        <v>5</v>
      </c>
      <c r="B2" s="4">
        <v>120000</v>
      </c>
      <c r="C2" s="4">
        <v>100000</v>
      </c>
      <c r="D2" s="5">
        <v>4.5</v>
      </c>
      <c r="E2" s="5">
        <v>60</v>
      </c>
      <c r="F2" t="str">
        <f>IF(AND(Table1[[#This Row],[Sales]]&gt;=Table1[[#This Row],[Target]], Table1[[#This Row],[Rating]]&gt;=4, Table1[[#This Row],[Leads]]&gt;=50), "Eligible", "Not Eligible")</f>
        <v>Eligible</v>
      </c>
    </row>
    <row r="3" spans="1:6" x14ac:dyDescent="0.25">
      <c r="A3" s="3" t="s">
        <v>6</v>
      </c>
      <c r="B3" s="4">
        <v>120000</v>
      </c>
      <c r="C3" s="4">
        <v>100000</v>
      </c>
      <c r="D3" s="5">
        <v>3.5</v>
      </c>
      <c r="E3" s="5">
        <v>70</v>
      </c>
      <c r="F3" t="str">
        <f>IF(AND(Table1[[#This Row],[Sales]]&gt;=Table1[[#This Row],[Target]], Table1[[#This Row],[Rating]]&gt;=4, Table1[[#This Row],[Leads]]&gt;=50), "Eligible", "Not Eligible")</f>
        <v>Not Eligible</v>
      </c>
    </row>
    <row r="4" spans="1:6" x14ac:dyDescent="0.25">
      <c r="A4" s="3" t="s">
        <v>7</v>
      </c>
      <c r="B4" s="4">
        <v>90000</v>
      </c>
      <c r="C4" s="4">
        <v>100000</v>
      </c>
      <c r="D4" s="5">
        <v>4.5</v>
      </c>
      <c r="E4" s="5">
        <v>80</v>
      </c>
      <c r="F4" t="str">
        <f>IF(AND(Table1[[#This Row],[Sales]]&gt;=Table1[[#This Row],[Target]], Table1[[#This Row],[Rating]]&gt;=4, Table1[[#This Row],[Leads]]&gt;=50), "Eligible", "Not Eligible")</f>
        <v>Not Eligible</v>
      </c>
    </row>
    <row r="5" spans="1:6" x14ac:dyDescent="0.25">
      <c r="A5" s="3" t="s">
        <v>8</v>
      </c>
      <c r="B5" s="4">
        <v>110000</v>
      </c>
      <c r="C5" s="4">
        <v>100000</v>
      </c>
      <c r="D5" s="5">
        <v>4</v>
      </c>
      <c r="E5" s="5">
        <v>40</v>
      </c>
      <c r="F5" t="str">
        <f>IF(AND(Table1[[#This Row],[Sales]]&gt;=Table1[[#This Row],[Target]], Table1[[#This Row],[Rating]]&gt;=4, Table1[[#This Row],[Leads]]&gt;=50), "Eligible", "Not Eligible")</f>
        <v>Not Eligible</v>
      </c>
    </row>
    <row r="6" spans="1:6" x14ac:dyDescent="0.25">
      <c r="A6" s="3" t="s">
        <v>9</v>
      </c>
      <c r="B6" s="4">
        <v>100000</v>
      </c>
      <c r="C6" s="4">
        <v>100000</v>
      </c>
      <c r="D6" s="5">
        <v>4</v>
      </c>
      <c r="E6" s="5">
        <v>50</v>
      </c>
      <c r="F6" t="str">
        <f>IF(AND(Table1[[#This Row],[Sales]]&gt;=Table1[[#This Row],[Target]], Table1[[#This Row],[Rating]]&gt;=4, Table1[[#This Row],[Leads]]&gt;=50), "Eligible", "Not Eligible")</f>
        <v>Eligible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I16" sqref="I16"/>
    </sheetView>
  </sheetViews>
  <sheetFormatPr defaultRowHeight="15" x14ac:dyDescent="0.25"/>
  <cols>
    <col min="1" max="1" width="16.28515625" bestFit="1" customWidth="1"/>
    <col min="2" max="2" width="12.5703125" bestFit="1" customWidth="1"/>
    <col min="3" max="3" width="12.42578125" bestFit="1" customWidth="1"/>
    <col min="4" max="5" width="8.140625" bestFit="1" customWidth="1"/>
    <col min="6" max="6" width="6.5703125" bestFit="1" customWidth="1"/>
    <col min="7" max="7" width="6" bestFit="1" customWidth="1"/>
    <col min="8" max="8" width="13.140625" bestFit="1" customWidth="1"/>
    <col min="9" max="9" width="15.85546875" bestFit="1" customWidth="1"/>
    <col min="10" max="10" width="11" bestFit="1" customWidth="1"/>
    <col min="11" max="11" width="32.42578125" bestFit="1" customWidth="1"/>
    <col min="12" max="12" width="13.140625" bestFit="1" customWidth="1"/>
    <col min="13" max="13" width="11.7109375" bestFit="1" customWidth="1"/>
  </cols>
  <sheetData>
    <row r="1" spans="1:13" x14ac:dyDescent="0.25">
      <c r="A1" s="1" t="s">
        <v>0</v>
      </c>
      <c r="B1" s="1" t="s">
        <v>11</v>
      </c>
      <c r="C1" s="1" t="s">
        <v>12</v>
      </c>
      <c r="D1" s="2" t="s">
        <v>1</v>
      </c>
      <c r="E1" s="2" t="s">
        <v>2</v>
      </c>
      <c r="F1" s="2" t="s">
        <v>3</v>
      </c>
      <c r="G1" s="2" t="s">
        <v>4</v>
      </c>
      <c r="H1" s="1" t="s">
        <v>13</v>
      </c>
      <c r="I1" s="2" t="s">
        <v>35</v>
      </c>
      <c r="K1" s="6" t="s">
        <v>11</v>
      </c>
      <c r="L1" s="6" t="s">
        <v>31</v>
      </c>
    </row>
    <row r="2" spans="1:13" x14ac:dyDescent="0.25">
      <c r="A2" s="3" t="s">
        <v>14</v>
      </c>
      <c r="B2" s="3" t="s">
        <v>15</v>
      </c>
      <c r="C2" s="3" t="s">
        <v>16</v>
      </c>
      <c r="D2" s="4">
        <v>120000</v>
      </c>
      <c r="E2" s="4">
        <v>100000</v>
      </c>
      <c r="F2" s="5">
        <v>4.5</v>
      </c>
      <c r="G2" s="5">
        <v>60</v>
      </c>
      <c r="H2" s="3" t="s">
        <v>17</v>
      </c>
      <c r="I2" t="str">
        <f>IF(AND(Table2[[#This Row],[Sales]]&gt;=Table2[[#This Row],[Target]], Table2[[#This Row],[Rating]]&gt;=4, Table2[[#This Row],[Leads]]&gt;=50), "Eligible", "Not_Eligible")</f>
        <v>Eligible</v>
      </c>
      <c r="K2" s="7" t="s">
        <v>15</v>
      </c>
      <c r="L2" s="7">
        <f>SUMIF(B:B,K2,D:D)</f>
        <v>535000</v>
      </c>
    </row>
    <row r="3" spans="1:13" x14ac:dyDescent="0.25">
      <c r="A3" s="3" t="s">
        <v>18</v>
      </c>
      <c r="B3" s="3" t="s">
        <v>15</v>
      </c>
      <c r="C3" s="3" t="s">
        <v>19</v>
      </c>
      <c r="D3" s="4">
        <v>90000</v>
      </c>
      <c r="E3" s="4">
        <v>100000</v>
      </c>
      <c r="F3" s="5">
        <v>4</v>
      </c>
      <c r="G3" s="5">
        <v>55</v>
      </c>
      <c r="H3" s="3" t="s">
        <v>20</v>
      </c>
      <c r="I3" t="str">
        <f>IF(AND(Table2[[#This Row],[Sales]]&gt;=Table2[[#This Row],[Target]], Table2[[#This Row],[Rating]]&gt;=4, Table2[[#This Row],[Leads]]&gt;=50), "Eligible", "Not_Eligible")</f>
        <v>Not_Eligible</v>
      </c>
    </row>
    <row r="4" spans="1:13" x14ac:dyDescent="0.25">
      <c r="A4" s="3" t="s">
        <v>21</v>
      </c>
      <c r="B4" s="3" t="s">
        <v>22</v>
      </c>
      <c r="C4" s="3" t="s">
        <v>16</v>
      </c>
      <c r="D4" s="4">
        <v>150000</v>
      </c>
      <c r="E4" s="4">
        <v>120000</v>
      </c>
      <c r="F4" s="5">
        <v>4.5</v>
      </c>
      <c r="G4" s="5">
        <v>70</v>
      </c>
      <c r="H4" s="3" t="s">
        <v>17</v>
      </c>
      <c r="I4" t="str">
        <f>IF(AND(Table2[[#This Row],[Sales]]&gt;=Table2[[#This Row],[Target]], Table2[[#This Row],[Rating]]&gt;=4, Table2[[#This Row],[Leads]]&gt;=50), "Eligible", "Not_Eligible")</f>
        <v>Eligible</v>
      </c>
      <c r="K4" s="6" t="s">
        <v>11</v>
      </c>
      <c r="L4" s="6" t="s">
        <v>12</v>
      </c>
      <c r="M4" s="6" t="s">
        <v>31</v>
      </c>
    </row>
    <row r="5" spans="1:13" x14ac:dyDescent="0.25">
      <c r="A5" s="3" t="s">
        <v>23</v>
      </c>
      <c r="B5" s="3" t="s">
        <v>22</v>
      </c>
      <c r="C5" s="3" t="s">
        <v>19</v>
      </c>
      <c r="D5" s="4">
        <v>80000</v>
      </c>
      <c r="E5" s="4">
        <v>100000</v>
      </c>
      <c r="F5" s="5">
        <v>3.5</v>
      </c>
      <c r="G5" s="5">
        <v>45</v>
      </c>
      <c r="H5" s="3" t="s">
        <v>20</v>
      </c>
      <c r="I5" t="str">
        <f>IF(AND(Table2[[#This Row],[Sales]]&gt;=Table2[[#This Row],[Target]], Table2[[#This Row],[Rating]]&gt;=4, Table2[[#This Row],[Leads]]&gt;=50), "Eligible", "Not_Eligible")</f>
        <v>Not_Eligible</v>
      </c>
      <c r="K5" s="7" t="s">
        <v>15</v>
      </c>
      <c r="L5" s="7" t="s">
        <v>16</v>
      </c>
      <c r="M5" s="7">
        <f>SUMIFS(D:D,B:B,K5,C:C,L5)</f>
        <v>315000</v>
      </c>
    </row>
    <row r="6" spans="1:13" x14ac:dyDescent="0.25">
      <c r="A6" s="3" t="s">
        <v>24</v>
      </c>
      <c r="B6" s="3" t="s">
        <v>15</v>
      </c>
      <c r="C6" s="3" t="s">
        <v>16</v>
      </c>
      <c r="D6" s="4">
        <v>110000</v>
      </c>
      <c r="E6" s="4">
        <v>100000</v>
      </c>
      <c r="F6" s="5">
        <v>4</v>
      </c>
      <c r="G6" s="5">
        <v>50</v>
      </c>
      <c r="H6" s="3" t="s">
        <v>17</v>
      </c>
      <c r="I6" t="str">
        <f>IF(AND(Table2[[#This Row],[Sales]]&gt;=Table2[[#This Row],[Target]], Table2[[#This Row],[Rating]]&gt;=4, Table2[[#This Row],[Leads]]&gt;=50), "Eligible", "Not_Eligible")</f>
        <v>Eligible</v>
      </c>
    </row>
    <row r="7" spans="1:13" x14ac:dyDescent="0.25">
      <c r="A7" s="3" t="s">
        <v>25</v>
      </c>
      <c r="B7" s="3" t="s">
        <v>26</v>
      </c>
      <c r="C7" s="3" t="s">
        <v>19</v>
      </c>
      <c r="D7" s="4">
        <v>95000</v>
      </c>
      <c r="E7" s="4">
        <v>100000</v>
      </c>
      <c r="F7" s="5">
        <v>4.5</v>
      </c>
      <c r="G7" s="5">
        <v>60</v>
      </c>
      <c r="H7" s="3" t="s">
        <v>20</v>
      </c>
      <c r="I7" t="str">
        <f>IF(AND(Table2[[#This Row],[Sales]]&gt;=Table2[[#This Row],[Target]], Table2[[#This Row],[Rating]]&gt;=4, Table2[[#This Row],[Leads]]&gt;=50), "Eligible", "Not_Eligible")</f>
        <v>Not_Eligible</v>
      </c>
      <c r="K7" s="6" t="s">
        <v>11</v>
      </c>
      <c r="L7" s="6" t="s">
        <v>13</v>
      </c>
      <c r="M7" s="6" t="s">
        <v>32</v>
      </c>
    </row>
    <row r="8" spans="1:13" x14ac:dyDescent="0.25">
      <c r="A8" s="3" t="s">
        <v>27</v>
      </c>
      <c r="B8" s="3" t="s">
        <v>15</v>
      </c>
      <c r="C8" s="3" t="s">
        <v>19</v>
      </c>
      <c r="D8" s="4">
        <v>130000</v>
      </c>
      <c r="E8" s="4">
        <v>100000</v>
      </c>
      <c r="F8" s="5">
        <v>4.5</v>
      </c>
      <c r="G8" s="5">
        <v>80</v>
      </c>
      <c r="H8" s="3" t="s">
        <v>17</v>
      </c>
      <c r="I8" t="str">
        <f>IF(AND(Table2[[#This Row],[Sales]]&gt;=Table2[[#This Row],[Target]], Table2[[#This Row],[Rating]]&gt;=4, Table2[[#This Row],[Leads]]&gt;=50), "Eligible", "Not_Eligible")</f>
        <v>Eligible</v>
      </c>
      <c r="K8" s="7" t="s">
        <v>15</v>
      </c>
      <c r="L8" s="7" t="s">
        <v>17</v>
      </c>
      <c r="M8" s="7">
        <f>COUNTIFS(B:B,K8,H:H,L8)</f>
        <v>3</v>
      </c>
    </row>
    <row r="9" spans="1:13" x14ac:dyDescent="0.25">
      <c r="A9" s="3" t="s">
        <v>28</v>
      </c>
      <c r="B9" s="3" t="s">
        <v>26</v>
      </c>
      <c r="C9" s="3" t="s">
        <v>16</v>
      </c>
      <c r="D9" s="4">
        <v>120000</v>
      </c>
      <c r="E9" s="4">
        <v>100000</v>
      </c>
      <c r="F9" s="5">
        <v>4</v>
      </c>
      <c r="G9" s="5">
        <v>65</v>
      </c>
      <c r="H9" s="3" t="s">
        <v>17</v>
      </c>
      <c r="I9" t="str">
        <f>IF(AND(Table2[[#This Row],[Sales]]&gt;=Table2[[#This Row],[Target]], Table2[[#This Row],[Rating]]&gt;=4, Table2[[#This Row],[Leads]]&gt;=50), "Eligible", "Not_Eligible")</f>
        <v>Eligible</v>
      </c>
    </row>
    <row r="10" spans="1:13" x14ac:dyDescent="0.25">
      <c r="A10" s="3" t="s">
        <v>29</v>
      </c>
      <c r="B10" s="3" t="s">
        <v>22</v>
      </c>
      <c r="C10" s="3" t="s">
        <v>16</v>
      </c>
      <c r="D10" s="4">
        <v>100000</v>
      </c>
      <c r="E10" s="4">
        <v>120000</v>
      </c>
      <c r="F10" s="5">
        <v>4</v>
      </c>
      <c r="G10" s="5">
        <v>55</v>
      </c>
      <c r="H10" s="3" t="s">
        <v>20</v>
      </c>
      <c r="I10" t="str">
        <f>IF(AND(Table2[[#This Row],[Sales]]&gt;=Table2[[#This Row],[Target]], Table2[[#This Row],[Rating]]&gt;=4, Table2[[#This Row],[Leads]]&gt;=50), "Eligible", "Not_Eligible")</f>
        <v>Not_Eligible</v>
      </c>
      <c r="K10" s="6" t="s">
        <v>11</v>
      </c>
      <c r="L10" s="6" t="s">
        <v>12</v>
      </c>
      <c r="M10" s="6" t="s">
        <v>33</v>
      </c>
    </row>
    <row r="11" spans="1:13" x14ac:dyDescent="0.25">
      <c r="A11" s="3" t="s">
        <v>30</v>
      </c>
      <c r="B11" s="3" t="s">
        <v>15</v>
      </c>
      <c r="C11" s="3" t="s">
        <v>16</v>
      </c>
      <c r="D11" s="4">
        <v>85000</v>
      </c>
      <c r="E11" s="4">
        <v>100000</v>
      </c>
      <c r="F11" s="5">
        <v>3.5</v>
      </c>
      <c r="G11" s="5">
        <v>40</v>
      </c>
      <c r="H11" s="3" t="s">
        <v>20</v>
      </c>
      <c r="I11" t="str">
        <f>IF(AND(Table2[[#This Row],[Sales]]&gt;=Table2[[#This Row],[Target]], Table2[[#This Row],[Rating]]&gt;=4, Table2[[#This Row],[Leads]]&gt;=50), "Eligible", "Not_Eligible")</f>
        <v>Not_Eligible</v>
      </c>
      <c r="K11" s="7" t="s">
        <v>15</v>
      </c>
      <c r="L11" s="7" t="s">
        <v>16</v>
      </c>
      <c r="M11" s="7">
        <f>AVERAGEIFS(D:D, B:B, K11, C:C, L11)</f>
        <v>105000</v>
      </c>
    </row>
    <row r="13" spans="1:13" x14ac:dyDescent="0.25">
      <c r="K13" s="6" t="s">
        <v>35</v>
      </c>
      <c r="L13" s="6" t="s">
        <v>36</v>
      </c>
    </row>
    <row r="14" spans="1:13" x14ac:dyDescent="0.25">
      <c r="K14" s="7" t="s">
        <v>34</v>
      </c>
      <c r="L14" s="7">
        <f>COUNTIF(I:I,K14)</f>
        <v>5</v>
      </c>
    </row>
    <row r="16" spans="1:13" x14ac:dyDescent="0.25">
      <c r="K16" s="6" t="s">
        <v>11</v>
      </c>
      <c r="L16" s="6" t="s">
        <v>31</v>
      </c>
    </row>
    <row r="17" spans="11:12" x14ac:dyDescent="0.25">
      <c r="K17" s="7" t="s">
        <v>15</v>
      </c>
      <c r="L17" s="7">
        <f>SUMIF(B:B,K17,D:D)</f>
        <v>535000</v>
      </c>
    </row>
    <row r="18" spans="11:12" x14ac:dyDescent="0.25">
      <c r="K18" s="7" t="s">
        <v>22</v>
      </c>
      <c r="L18" s="7">
        <f>SUMIF(B:B,K18,D:D)</f>
        <v>330000</v>
      </c>
    </row>
    <row r="19" spans="11:12" x14ac:dyDescent="0.25">
      <c r="K19" s="7" t="s">
        <v>26</v>
      </c>
      <c r="L19" s="7">
        <f>SUMIF(B:B,K19,D:D)</f>
        <v>215000</v>
      </c>
    </row>
    <row r="21" spans="11:12" x14ac:dyDescent="0.25">
      <c r="K21" s="6" t="s">
        <v>37</v>
      </c>
      <c r="L21" s="6" t="s">
        <v>38</v>
      </c>
    </row>
    <row r="22" spans="11:12" x14ac:dyDescent="0.25">
      <c r="K22" s="7" t="str">
        <f>IF(L17=L22, K17, IF(L18 = L22, K18, IF(L19 = L22, K19)))</f>
        <v>Kenya</v>
      </c>
      <c r="L22" s="7">
        <f>MAX(L17:L19)</f>
        <v>535000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Business_Problem_001</vt:lpstr>
      <vt:lpstr>Business_Problem_002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2026-10-01T11:30:20Z</dcterms:created>
  <dcterms:modified xsi:type="dcterms:W3CDTF">2026-10-01T13:31:38Z</dcterms:modified>
</cp:coreProperties>
</file>