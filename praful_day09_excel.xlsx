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9\"/>
    </mc:Choice>
  </mc:AlternateContent>
  <bookViews>
    <workbookView xWindow="0" yWindow="0" windowWidth="20490" windowHeight="6900" activeTab="1"/>
  </bookViews>
  <sheets>
    <sheet name="Sheet1" sheetId="1" r:id="rId1"/>
    <sheet name="Practicle_00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E2" i="2"/>
  <c r="E3" i="2"/>
  <c r="E4" i="2"/>
  <c r="E5" i="2"/>
  <c r="E6" i="2"/>
  <c r="D2" i="2"/>
  <c r="D3" i="2"/>
  <c r="D4" i="2"/>
  <c r="D5" i="2"/>
  <c r="D6" i="2"/>
  <c r="H13" i="1"/>
  <c r="M7" i="1"/>
  <c r="L7" i="1"/>
  <c r="B6" i="1"/>
  <c r="C6" i="1" s="1"/>
  <c r="H9" i="1"/>
  <c r="H8" i="1"/>
  <c r="H7" i="1"/>
  <c r="G9" i="1"/>
  <c r="G8" i="1"/>
  <c r="G7" i="1"/>
  <c r="M4" i="1"/>
  <c r="M3" i="1"/>
  <c r="M2" i="1"/>
  <c r="C2" i="1"/>
  <c r="K2" i="1"/>
  <c r="H4" i="1"/>
  <c r="H3" i="1"/>
  <c r="H2" i="1"/>
</calcChain>
</file>

<file path=xl/sharedStrings.xml><?xml version="1.0" encoding="utf-8"?>
<sst xmlns="http://schemas.openxmlformats.org/spreadsheetml/2006/main" count="23" uniqueCount="20">
  <si>
    <t>Date</t>
  </si>
  <si>
    <t>EOMONTH()</t>
  </si>
  <si>
    <t>Booking_Date</t>
  </si>
  <si>
    <t>Overdue_days</t>
  </si>
  <si>
    <t>Start_Date</t>
  </si>
  <si>
    <t>End_Date</t>
  </si>
  <si>
    <t>YEARFRAC()</t>
  </si>
  <si>
    <t>TEXT()</t>
  </si>
  <si>
    <t>Month()</t>
  </si>
  <si>
    <t>Quarter</t>
  </si>
  <si>
    <t>Booking ID</t>
  </si>
  <si>
    <t>Booking Date</t>
  </si>
  <si>
    <t>Revenue</t>
  </si>
  <si>
    <t>BK101</t>
  </si>
  <si>
    <t>BK102</t>
  </si>
  <si>
    <t>BK103</t>
  </si>
  <si>
    <t>BK104</t>
  </si>
  <si>
    <t>BK105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</si>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</sst>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5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6" totalsRowShown="0" headerRowDxfId="5">
  <tableColumns count="6">
    <tableColumn id="1" name="Booking ID" dataDxfId="6"/>
    <tableColumn id="2" name="Booking Date" dataDxfId="4"/>
    <tableColumn id="3" name="Revenue" dataDxfId="3"/>
    <tableColumn id="4" name="Year" dataDxfId="2">
      <calculatedColumnFormula>YEAR(Table1[[#This Row],[Booking Date]])</calculatedColumnFormula>
    </tableColumn>
    <tableColumn id="5" name="Month" dataDxfId="1">
      <calculatedColumnFormula>MONTH(Table1[[#This Row],[Booking Date]])</calculatedColumnFormula>
    </tableColumn>
    <tableColumn id="6" name="Quarter" dataDxfId="0">
      <calculatedColumnFormula>"Q"&amp;ROUNDUP(Table1[[#This Row],[Month]]/3, 0)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A7" workbookViewId="0">
      <selection activeCell="K18" sqref="K18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" width="11.42578125" bestFit="1" customWidth="1"/>
    <col min="7" max="7" width="9.85546875" bestFit="1" customWidth="1"/>
    <col min="8" max="8" width="11.7109375" bestFit="1" customWidth="1"/>
    <col min="10" max="10" width="13.42578125" bestFit="1" customWidth="1"/>
    <col min="11" max="11" width="13.85546875" bestFit="1" customWidth="1"/>
    <col min="13" max="14" width="10.42578125" bestFit="1" customWidth="1"/>
  </cols>
  <sheetData>
    <row r="1" spans="1:14" x14ac:dyDescent="0.25">
      <c r="A1" s="9" t="s">
        <v>4</v>
      </c>
      <c r="B1" s="3" t="s">
        <v>5</v>
      </c>
      <c r="C1" s="3" t="s">
        <v>6</v>
      </c>
      <c r="G1" s="3" t="s">
        <v>0</v>
      </c>
      <c r="H1" s="3" t="s">
        <v>1</v>
      </c>
      <c r="J1" s="3" t="s">
        <v>2</v>
      </c>
      <c r="K1" s="3" t="s">
        <v>3</v>
      </c>
      <c r="M1" s="10" t="s">
        <v>7</v>
      </c>
    </row>
    <row r="2" spans="1:14" x14ac:dyDescent="0.25">
      <c r="A2" s="4">
        <v>45292</v>
      </c>
      <c r="B2" s="4">
        <v>46204</v>
      </c>
      <c r="C2" s="6">
        <f>YEARFRAC(A2, B2)</f>
        <v>2.5</v>
      </c>
      <c r="G2" s="4">
        <v>45366</v>
      </c>
      <c r="H2" s="5">
        <f>EOMONTH(G2,0)</f>
        <v>45382</v>
      </c>
      <c r="J2" s="4">
        <v>46091</v>
      </c>
      <c r="K2" s="8">
        <f ca="1">TODAY() - J2</f>
        <v>214</v>
      </c>
      <c r="M2" s="5" t="str">
        <f>TEXT(J2, "mmmm")</f>
        <v>March</v>
      </c>
      <c r="N2" s="2"/>
    </row>
    <row r="3" spans="1:14" x14ac:dyDescent="0.25">
      <c r="G3" s="6"/>
      <c r="H3" s="5">
        <f>EOMONTH(G2, 1)</f>
        <v>45412</v>
      </c>
      <c r="M3" s="6" t="str">
        <f>TEXT(A2, "mmm")</f>
        <v>Jan</v>
      </c>
    </row>
    <row r="4" spans="1:14" x14ac:dyDescent="0.25">
      <c r="G4" s="6"/>
      <c r="H4" s="5">
        <f>EOMONTH(G2, -1)</f>
        <v>45351</v>
      </c>
      <c r="M4" s="6" t="str">
        <f>TEXT(B2, "mmmm")</f>
        <v>July</v>
      </c>
    </row>
    <row r="5" spans="1:14" x14ac:dyDescent="0.25">
      <c r="A5" t="s">
        <v>0</v>
      </c>
      <c r="B5" t="s">
        <v>8</v>
      </c>
    </row>
    <row r="6" spans="1:14" x14ac:dyDescent="0.25">
      <c r="A6" s="1">
        <v>46235</v>
      </c>
      <c r="B6">
        <f>MONTH(A6)</f>
        <v>8</v>
      </c>
      <c r="C6">
        <f>ROUNDUP(B6/3, 0)</f>
        <v>3</v>
      </c>
    </row>
    <row r="7" spans="1:14" x14ac:dyDescent="0.25">
      <c r="F7">
        <v>12.22</v>
      </c>
      <c r="G7">
        <f>ROUND(F7, 1)</f>
        <v>12.2</v>
      </c>
      <c r="H7">
        <f>ROUND(F7, 0)</f>
        <v>12</v>
      </c>
      <c r="K7">
        <v>3.1</v>
      </c>
      <c r="L7">
        <f>ROUNDUP(K7, 0)</f>
        <v>4</v>
      </c>
      <c r="M7">
        <f>ROUNDDOWN(K7, 0)</f>
        <v>3</v>
      </c>
    </row>
    <row r="8" spans="1:14" x14ac:dyDescent="0.25">
      <c r="F8">
        <v>12.98</v>
      </c>
      <c r="G8">
        <f>ROUNDDOWN(F8, 1)</f>
        <v>12.9</v>
      </c>
      <c r="H8">
        <f>ROUNDDOWN(F8, 0)</f>
        <v>12</v>
      </c>
    </row>
    <row r="9" spans="1:14" x14ac:dyDescent="0.25">
      <c r="F9">
        <v>12.36</v>
      </c>
      <c r="G9">
        <f>ROUNDUP(F9, 1)</f>
        <v>12.4</v>
      </c>
      <c r="H9">
        <f>ROUNDUP(F9, 0)</f>
        <v>13</v>
      </c>
    </row>
    <row r="12" spans="1:14" x14ac:dyDescent="0.25">
      <c r="G12" s="11" t="s">
        <v>0</v>
      </c>
      <c r="H12" s="11" t="s">
        <v>9</v>
      </c>
    </row>
    <row r="13" spans="1:14" x14ac:dyDescent="0.25">
      <c r="G13" s="4">
        <v>46124</v>
      </c>
      <c r="H13" s="6" t="str">
        <f>"Q"&amp;ROUNDUP(MONTH(G13)/3,0)</f>
        <v>Q2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11" sqref="G11"/>
    </sheetView>
  </sheetViews>
  <sheetFormatPr defaultRowHeight="15" x14ac:dyDescent="0.25"/>
  <cols>
    <col min="1" max="1" width="12.5703125" customWidth="1"/>
    <col min="2" max="2" width="14.85546875" customWidth="1"/>
    <col min="3" max="3" width="11" customWidth="1"/>
  </cols>
  <sheetData>
    <row r="1" spans="1:6" x14ac:dyDescent="0.25">
      <c r="A1" s="12" t="s">
        <v>10</v>
      </c>
      <c r="B1" s="12" t="s">
        <v>11</v>
      </c>
      <c r="C1" s="12" t="s">
        <v>12</v>
      </c>
      <c r="D1" s="12" t="s">
        <v>18</v>
      </c>
      <c r="E1" s="12" t="s">
        <v>19</v>
      </c>
      <c r="F1" s="12" t="s">
        <v>9</v>
      </c>
    </row>
    <row r="2" spans="1:6" x14ac:dyDescent="0.25">
      <c r="A2" s="13" t="s">
        <v>13</v>
      </c>
      <c r="B2" s="14">
        <v>45672</v>
      </c>
      <c r="C2" s="15">
        <v>12000</v>
      </c>
      <c r="D2" s="7">
        <f>YEAR(Table1[[#This Row],[Booking Date]])</f>
        <v>2025</v>
      </c>
      <c r="E2" s="7">
        <f>MONTH(Table1[[#This Row],[Booking Date]])</f>
        <v>1</v>
      </c>
      <c r="F2" s="7" t="str">
        <f>"Q"&amp;ROUNDUP(Table1[[#This Row],[Month]]/3, 0)</f>
        <v>Q1</v>
      </c>
    </row>
    <row r="3" spans="1:6" x14ac:dyDescent="0.25">
      <c r="A3" s="13" t="s">
        <v>14</v>
      </c>
      <c r="B3" s="14">
        <v>45767</v>
      </c>
      <c r="C3" s="15">
        <v>18000</v>
      </c>
      <c r="D3" s="7">
        <f>YEAR(Table1[[#This Row],[Booking Date]])</f>
        <v>2025</v>
      </c>
      <c r="E3" s="7">
        <f>MONTH(Table1[[#This Row],[Booking Date]])</f>
        <v>4</v>
      </c>
      <c r="F3" s="7" t="str">
        <f>"Q"&amp;ROUNDUP(Table1[[#This Row],[Month]]/3, 0)</f>
        <v>Q2</v>
      </c>
    </row>
    <row r="4" spans="1:6" x14ac:dyDescent="0.25">
      <c r="A4" s="13" t="s">
        <v>15</v>
      </c>
      <c r="B4" s="14">
        <v>45879</v>
      </c>
      <c r="C4" s="15">
        <v>15000</v>
      </c>
      <c r="D4" s="7">
        <f>YEAR(Table1[[#This Row],[Booking Date]])</f>
        <v>2025</v>
      </c>
      <c r="E4" s="7">
        <f>MONTH(Table1[[#This Row],[Booking Date]])</f>
        <v>8</v>
      </c>
      <c r="F4" s="7" t="str">
        <f>"Q"&amp;ROUNDUP(Table1[[#This Row],[Month]]/3, 0)</f>
        <v>Q3</v>
      </c>
    </row>
    <row r="5" spans="1:6" x14ac:dyDescent="0.25">
      <c r="A5" s="13" t="s">
        <v>16</v>
      </c>
      <c r="B5" s="14">
        <v>45966</v>
      </c>
      <c r="C5" s="15">
        <v>22000</v>
      </c>
      <c r="D5" s="7">
        <f>YEAR(Table1[[#This Row],[Booking Date]])</f>
        <v>2025</v>
      </c>
      <c r="E5" s="7">
        <f>MONTH(Table1[[#This Row],[Booking Date]])</f>
        <v>11</v>
      </c>
      <c r="F5" s="7" t="str">
        <f>"Q"&amp;ROUNDUP(Table1[[#This Row],[Month]]/3, 0)</f>
        <v>Q4</v>
      </c>
    </row>
    <row r="6" spans="1:6" x14ac:dyDescent="0.25">
      <c r="A6" s="13" t="s">
        <v>17</v>
      </c>
      <c r="B6" s="14">
        <v>46065</v>
      </c>
      <c r="C6" s="15">
        <v>25000</v>
      </c>
      <c r="D6" s="7">
        <f>YEAR(Table1[[#This Row],[Booking Date]])</f>
        <v>2026</v>
      </c>
      <c r="E6" s="7">
        <f>MONTH(Table1[[#This Row],[Booking Date]])</f>
        <v>2</v>
      </c>
      <c r="F6" s="7" t="str">
        <f>"Q"&amp;ROUNDUP(Table1[[#This Row],[Month]]/3, 0)</f>
        <v>Q1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Practicle_001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2026-10-10T06:23:26Z</dcterms:created>
  <dcterms:modified xsi:type="dcterms:W3CDTF">2026-10-10T08:14:07Z</dcterms:modified>
</cp:coreProperties>
</file>