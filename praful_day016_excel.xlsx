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16\"/>
    </mc:Choice>
  </mc:AlternateContent>
  <bookViews>
    <workbookView xWindow="0" yWindow="0" windowWidth="20490" windowHeight="6900" activeTab="1"/>
  </bookViews>
  <sheets>
    <sheet name="Advance_Pivot_Table" sheetId="1" r:id="rId1"/>
    <sheet name="Advance_Pivot_Table_002" sheetId="2" r:id="rId2"/>
  </sheets>
  <calcPr calcId="162913"/>
  <pivotCaches>
    <pivotCache cacheId="16" r:id="rId3"/>
    <pivotCache cacheId="27" r:id="rId4"/>
    <pivotCache cacheId="36" r:id="rId5"/>
    <pivotCache cacheId="5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2" l="1"/>
  <c r="M12" i="2" s="1"/>
</calcChain>
</file>

<file path=xl/sharedStrings.xml><?xml version="1.0" encoding="utf-8"?>
<sst xmlns="http://schemas.openxmlformats.org/spreadsheetml/2006/main" count="62" uniqueCount="36">
  <si>
    <t>Date</t>
  </si>
  <si>
    <t>Country</t>
  </si>
  <si>
    <t>Bookings</t>
  </si>
  <si>
    <t>India</t>
  </si>
  <si>
    <t>Row Labels</t>
  </si>
  <si>
    <t>Grand Total</t>
  </si>
  <si>
    <t>Sum of Bookings</t>
  </si>
  <si>
    <t>2026</t>
  </si>
  <si>
    <t>2025</t>
  </si>
  <si>
    <t>Booking ID</t>
  </si>
  <si>
    <t>Booking Value (₹)</t>
  </si>
  <si>
    <t>B001</t>
  </si>
  <si>
    <t>B002</t>
  </si>
  <si>
    <t>B003</t>
  </si>
  <si>
    <t>B004</t>
  </si>
  <si>
    <t>B005</t>
  </si>
  <si>
    <t>B006</t>
  </si>
  <si>
    <t>B007</t>
  </si>
  <si>
    <t>B008</t>
  </si>
  <si>
    <t>Count of Booking ID</t>
  </si>
  <si>
    <t>500-2499</t>
  </si>
  <si>
    <t>2500-4499</t>
  </si>
  <si>
    <t>4500-6499</t>
  </si>
  <si>
    <t>6500-8499</t>
  </si>
  <si>
    <t>8500-10499</t>
  </si>
  <si>
    <t>Revenue</t>
  </si>
  <si>
    <t>Cost</t>
  </si>
  <si>
    <t>Kenya</t>
  </si>
  <si>
    <t>Nigeria</t>
  </si>
  <si>
    <t>Sum of Profit</t>
  </si>
  <si>
    <t>Country_Profit</t>
  </si>
  <si>
    <t>Revenue (₹)</t>
  </si>
  <si>
    <t>Cost (₹)</t>
  </si>
  <si>
    <t>Sum of Revenue (₹)</t>
  </si>
  <si>
    <t>Sum of Cost (₹)</t>
  </si>
  <si>
    <t>Sum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</si>
</sst>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109"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alignment horizontal="general" vertical="center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ful Chaudhari" refreshedDate="46317.777466203705" createdVersion="6" refreshedVersion="6" minRefreshableVersion="3" recordCount="7">
  <cacheSource type="worksheet">
    <worksheetSource name="Table1"/>
  </cacheSource>
  <cacheFields count="4">
    <cacheField name="Date" numFmtId="15">
      <sharedItems containsSemiMixedTypes="0" containsNonDate="0" containsDate="1" containsString="0" minDate="2025-01-12T00:00:00" maxDate="2026-04-13T00:00:00" count="7">
        <d v="2026-01-05T00:00:00"/>
        <d v="2026-01-12T00:00:00"/>
        <d v="2026-02-08T00:00:00"/>
        <d v="2026-02-15T00:00:00"/>
        <d v="2026-03-10T00:00:00"/>
        <d v="2026-04-12T00:00:00"/>
        <d v="2025-01-12T00:00:00"/>
      </sharedItems>
      <fieldGroup par="3" base="0">
        <rangePr groupBy="months" startDate="2025-01-12T00:00:00" endDate="2026-04-13T00:00:00"/>
        <groupItems count="14">
          <s v="&lt;12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4-2026"/>
        </groupItems>
      </fieldGroup>
    </cacheField>
    <cacheField name="Country" numFmtId="0">
      <sharedItems/>
    </cacheField>
    <cacheField name="Bookings" numFmtId="0">
      <sharedItems containsSemiMixedTypes="0" containsString="0" containsNumber="1" containsInteger="1" minValue="100" maxValue="200"/>
    </cacheField>
    <cacheField name="Years" numFmtId="0" databaseField="0">
      <fieldGroup base="0">
        <rangePr groupBy="years" startDate="2025-01-12T00:00:00" endDate="2026-04-13T00:00:00"/>
        <groupItems count="4">
          <s v="&lt;12-01-2025"/>
          <s v="2025"/>
          <s v="2026"/>
          <s v="&gt;13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raful Chaudhari" refreshedDate="46317.77950798611" createdVersion="6" refreshedVersion="6" minRefreshableVersion="3" recordCount="8">
  <cacheSource type="worksheet">
    <worksheetSource name="Table2"/>
  </cacheSource>
  <cacheFields count="3">
    <cacheField name="Booking ID" numFmtId="0">
      <sharedItems/>
    </cacheField>
    <cacheField name="Booking Value (₹)" numFmtId="0">
      <sharedItems containsSemiMixedTypes="0" containsString="0" containsNumber="1" containsInteger="1" minValue="500" maxValue="9000" count="8">
        <n v="500"/>
        <n v="1200"/>
        <n v="2500"/>
        <n v="3800"/>
        <n v="4500"/>
        <n v="6000"/>
        <n v="7500"/>
        <n v="9000"/>
      </sharedItems>
      <fieldGroup base="1">
        <rangePr autoEnd="0" startNum="500" endNum="9000" groupInterval="2000"/>
        <groupItems count="7">
          <s v="&lt;500"/>
          <s v="500-2499"/>
          <s v="2500-4499"/>
          <s v="4500-6499"/>
          <s v="6500-8499"/>
          <s v="8500-10499"/>
          <s v="&gt;10500"/>
        </groupItems>
      </fieldGroup>
    </cacheField>
    <cacheField name="Difference" numFmtId="0" formula="'Booking I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raful Chaudhari" refreshedDate="46317.785873263892" createdVersion="6" refreshedVersion="6" minRefreshableVersion="3" recordCount="3">
  <cacheSource type="worksheet">
    <worksheetSource name="Table3"/>
  </cacheSource>
  <cacheFields count="4">
    <cacheField name="Country" numFmtId="0">
      <sharedItems count="3">
        <s v="India"/>
        <s v="Kenya"/>
        <s v="Nigeria"/>
      </sharedItems>
    </cacheField>
    <cacheField name="Revenue" numFmtId="3">
      <sharedItems containsSemiMixedTypes="0" containsString="0" containsNumber="1" containsInteger="1" minValue="40000" maxValue="60000"/>
    </cacheField>
    <cacheField name="Cost" numFmtId="3">
      <sharedItems containsSemiMixedTypes="0" containsString="0" containsNumber="1" containsInteger="1" minValue="25000" maxValue="45000"/>
    </cacheField>
    <cacheField name="Profit" numFmtId="0" formula="Revenue-Cos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Praful Chaudhari" refreshedDate="46317.805419560187" createdVersion="6" refreshedVersion="6" minRefreshableVersion="3" recordCount="3">
  <cacheSource type="worksheet">
    <worksheetSource name="Table4"/>
  </cacheSource>
  <cacheFields count="6">
    <cacheField name="Country" numFmtId="0">
      <sharedItems count="3">
        <s v="India"/>
        <s v="Kenya"/>
        <s v="Nigeria"/>
      </sharedItems>
    </cacheField>
    <cacheField name="Bookings" numFmtId="0">
      <sharedItems containsSemiMixedTypes="0" containsString="0" containsNumber="1" containsInteger="1" minValue="350" maxValue="700"/>
    </cacheField>
    <cacheField name="Revenue (₹)" numFmtId="3">
      <sharedItems containsSemiMixedTypes="0" containsString="0" containsNumber="1" containsInteger="1" minValue="60000" maxValue="100000"/>
    </cacheField>
    <cacheField name="Cost (₹)" numFmtId="3">
      <sharedItems containsSemiMixedTypes="0" containsString="0" containsNumber="1" containsInteger="1" minValue="35000" maxValue="75000"/>
    </cacheField>
    <cacheField name="Profit" numFmtId="0" formula="'Revenue (₹)' -'Cost (₹)'" databaseField="0"/>
    <cacheField name="Profit_Margin" numFmtId="0" formula="Profit /'Revenue (₹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s v="India"/>
    <n v="120"/>
  </r>
  <r>
    <x v="1"/>
    <s v="India"/>
    <n v="150"/>
  </r>
  <r>
    <x v="2"/>
    <s v="India"/>
    <n v="180"/>
  </r>
  <r>
    <x v="3"/>
    <s v="India"/>
    <n v="100"/>
  </r>
  <r>
    <x v="4"/>
    <s v="India"/>
    <n v="200"/>
  </r>
  <r>
    <x v="5"/>
    <s v="India"/>
    <n v="100"/>
  </r>
  <r>
    <x v="6"/>
    <s v="India"/>
    <n v="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s v="B001"/>
    <x v="0"/>
  </r>
  <r>
    <s v="B002"/>
    <x v="1"/>
  </r>
  <r>
    <s v="B003"/>
    <x v="2"/>
  </r>
  <r>
    <s v="B004"/>
    <x v="3"/>
  </r>
  <r>
    <s v="B005"/>
    <x v="4"/>
  </r>
  <r>
    <s v="B006"/>
    <x v="5"/>
  </r>
  <r>
    <s v="B007"/>
    <x v="6"/>
  </r>
  <r>
    <s v="B008"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x v="0"/>
    <n v="50000"/>
    <n v="30000"/>
  </r>
  <r>
    <x v="1"/>
    <n v="40000"/>
    <n v="25000"/>
  </r>
  <r>
    <x v="2"/>
    <n v="60000"/>
    <n v="45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">
  <r>
    <x v="0"/>
    <n v="500"/>
    <n v="80000"/>
    <n v="50000"/>
  </r>
  <r>
    <x v="1"/>
    <n v="350"/>
    <n v="60000"/>
    <n v="35000"/>
  </r>
  <r>
    <x v="2"/>
    <n v="700"/>
    <n v="100000"/>
    <n v="7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3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22:L26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numFmtId="3" showAll="0"/>
    <pivotField numFmtId="3" showAll="0"/>
    <pivotField dataField="1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ry_Profit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1:L17" firstHeaderRow="1" firstDataRow="1" firstDataCol="1"/>
  <pivotFields count="3"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Booking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3:L6" firstHeaderRow="1" firstDataRow="1" firstDataCol="1"/>
  <pivotFields count="4"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axis="axisRow" showAll="0" defaultSubtotal="0">
      <items count="4">
        <item x="0"/>
        <item sd="0" x="1"/>
        <item sd="0" x="2"/>
        <item x="3"/>
      </items>
    </pivotField>
  </pivotFields>
  <rowFields count="2">
    <field x="3"/>
    <field x="0"/>
  </rowFields>
  <rowItems count="3">
    <i>
      <x v="1"/>
    </i>
    <i>
      <x v="2"/>
    </i>
    <i t="grand">
      <x/>
    </i>
  </rowItems>
  <colItems count="1">
    <i/>
  </colItems>
  <dataFields count="1">
    <dataField name="Sum of Booking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5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3:O7" firstHeaderRow="0" firstDataRow="1" firstDataCol="1"/>
  <pivotFields count="6"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howAll="0" defaultSubtotal="0"/>
    <pivotField dataField="1" numFmtId="3" showAll="0"/>
    <pivotField dataField="1" numFmtId="3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4">
    <i>
      <x/>
    </i>
    <i>
      <x v="2"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Bookings" fld="1" baseField="0" baseItem="0"/>
    <dataField name="Sum of Revenue (₹)" fld="2" baseField="0" baseItem="0"/>
    <dataField name="Sum of Cost (₹)" fld="3" baseField="0" baseItem="0"/>
    <dataField name="Sum of Profit" fld="4" baseField="0" baseItem="0" numFmtId="3"/>
    <dataField name="Sum of Profit_Margin" fld="5" baseField="0" baseItem="0" numFmtId="169"/>
  </dataFields>
  <formats count="3">
    <format dxfId="36">
      <pivotArea collapsedLevelsAreSubtotals="1" fieldPosition="0">
        <references count="2">
          <reference field="4294967294" count="1" selected="0">
            <x v="4"/>
          </reference>
          <reference field="0" count="0"/>
        </references>
      </pivotArea>
    </format>
    <format dxfId="3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8" totalsRowShown="0" headerRowDxfId="105">
  <tableColumns count="3">
    <tableColumn id="1" name="Date" dataDxfId="108"/>
    <tableColumn id="2" name="Country" dataDxfId="107"/>
    <tableColumn id="3" name="Bookings" dataDxfId="106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1:B19" totalsRowShown="0" headerRowDxfId="102">
  <tableColumns count="2">
    <tableColumn id="1" name="Booking ID" dataDxfId="104"/>
    <tableColumn id="2" name="Booking Value (₹)" dataDxfId="103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2:C25" totalsRowShown="0" headerRowDxfId="98">
  <tableColumns count="3">
    <tableColumn id="1" name="Country" dataDxfId="101"/>
    <tableColumn id="2" name="Revenue" dataDxfId="100"/>
    <tableColumn id="3" name="Cost" dataDxfId="9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4" totalsRowShown="0" headerRowDxfId="94">
  <tableColumns count="4">
    <tableColumn id="1" name="Country" dataDxfId="97"/>
    <tableColumn id="4" name="Bookings" dataDxfId="69"/>
    <tableColumn id="2" name="Revenue (₹)" dataDxfId="96"/>
    <tableColumn id="3" name="Cost (₹)" dataDxfId="9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opLeftCell="A10" workbookViewId="0">
      <selection activeCell="L23" sqref="L23"/>
    </sheetView>
  </sheetViews>
  <sheetFormatPr defaultRowHeight="15" x14ac:dyDescent="0.25"/>
  <cols>
    <col min="1" max="1" width="12.5703125" customWidth="1"/>
    <col min="2" max="2" width="13.42578125" customWidth="1"/>
    <col min="3" max="3" width="9.42578125" customWidth="1"/>
    <col min="11" max="11" width="13.140625" bestFit="1" customWidth="1"/>
    <col min="12" max="12" width="14.140625" customWidth="1"/>
    <col min="13" max="13" width="12.5703125" customWidth="1"/>
  </cols>
  <sheetData>
    <row r="1" spans="1:12" x14ac:dyDescent="0.25">
      <c r="A1" s="1" t="s">
        <v>0</v>
      </c>
      <c r="B1" s="1" t="s">
        <v>1</v>
      </c>
      <c r="C1" s="1" t="s">
        <v>2</v>
      </c>
    </row>
    <row r="2" spans="1:12" x14ac:dyDescent="0.25">
      <c r="A2" s="2">
        <v>46027</v>
      </c>
      <c r="B2" s="3" t="s">
        <v>3</v>
      </c>
      <c r="C2" s="3">
        <v>120</v>
      </c>
    </row>
    <row r="3" spans="1:12" x14ac:dyDescent="0.25">
      <c r="A3" s="2">
        <v>46034</v>
      </c>
      <c r="B3" s="3" t="s">
        <v>3</v>
      </c>
      <c r="C3" s="3">
        <v>150</v>
      </c>
      <c r="K3" s="4" t="s">
        <v>4</v>
      </c>
      <c r="L3" t="s">
        <v>6</v>
      </c>
    </row>
    <row r="4" spans="1:12" x14ac:dyDescent="0.25">
      <c r="A4" s="2">
        <v>46061</v>
      </c>
      <c r="B4" s="3" t="s">
        <v>3</v>
      </c>
      <c r="C4" s="3">
        <v>180</v>
      </c>
      <c r="K4" s="5" t="s">
        <v>8</v>
      </c>
      <c r="L4" s="6">
        <v>200</v>
      </c>
    </row>
    <row r="5" spans="1:12" x14ac:dyDescent="0.25">
      <c r="A5" s="2">
        <v>46068</v>
      </c>
      <c r="B5" s="3" t="s">
        <v>3</v>
      </c>
      <c r="C5" s="3">
        <v>100</v>
      </c>
      <c r="K5" s="5" t="s">
        <v>7</v>
      </c>
      <c r="L5" s="6">
        <v>850</v>
      </c>
    </row>
    <row r="6" spans="1:12" x14ac:dyDescent="0.25">
      <c r="A6" s="2">
        <v>46091</v>
      </c>
      <c r="B6" s="3" t="s">
        <v>3</v>
      </c>
      <c r="C6" s="3">
        <v>200</v>
      </c>
      <c r="K6" s="5" t="s">
        <v>5</v>
      </c>
      <c r="L6" s="6">
        <v>1050</v>
      </c>
    </row>
    <row r="7" spans="1:12" x14ac:dyDescent="0.25">
      <c r="A7" s="2">
        <v>46124</v>
      </c>
      <c r="B7" s="3" t="s">
        <v>3</v>
      </c>
      <c r="C7" s="3">
        <v>100</v>
      </c>
    </row>
    <row r="8" spans="1:12" x14ac:dyDescent="0.25">
      <c r="A8" s="2">
        <v>45669</v>
      </c>
      <c r="B8" s="3" t="s">
        <v>3</v>
      </c>
      <c r="C8" s="3">
        <v>200</v>
      </c>
    </row>
    <row r="11" spans="1:12" x14ac:dyDescent="0.25">
      <c r="A11" s="9" t="s">
        <v>9</v>
      </c>
      <c r="B11" s="9" t="s">
        <v>10</v>
      </c>
      <c r="K11" s="4" t="s">
        <v>4</v>
      </c>
      <c r="L11" t="s">
        <v>19</v>
      </c>
    </row>
    <row r="12" spans="1:12" x14ac:dyDescent="0.25">
      <c r="A12" s="10" t="s">
        <v>11</v>
      </c>
      <c r="B12" s="10">
        <v>500</v>
      </c>
      <c r="K12" s="5" t="s">
        <v>20</v>
      </c>
      <c r="L12" s="6">
        <v>2</v>
      </c>
    </row>
    <row r="13" spans="1:12" x14ac:dyDescent="0.25">
      <c r="A13" s="10" t="s">
        <v>12</v>
      </c>
      <c r="B13" s="11">
        <v>1200</v>
      </c>
      <c r="K13" s="5" t="s">
        <v>21</v>
      </c>
      <c r="L13" s="6">
        <v>2</v>
      </c>
    </row>
    <row r="14" spans="1:12" x14ac:dyDescent="0.25">
      <c r="A14" s="10" t="s">
        <v>13</v>
      </c>
      <c r="B14" s="11">
        <v>2500</v>
      </c>
      <c r="K14" s="5" t="s">
        <v>22</v>
      </c>
      <c r="L14" s="6">
        <v>2</v>
      </c>
    </row>
    <row r="15" spans="1:12" x14ac:dyDescent="0.25">
      <c r="A15" s="10" t="s">
        <v>14</v>
      </c>
      <c r="B15" s="11">
        <v>3800</v>
      </c>
      <c r="K15" s="5" t="s">
        <v>23</v>
      </c>
      <c r="L15" s="6">
        <v>1</v>
      </c>
    </row>
    <row r="16" spans="1:12" x14ac:dyDescent="0.25">
      <c r="A16" s="10" t="s">
        <v>15</v>
      </c>
      <c r="B16" s="11">
        <v>4500</v>
      </c>
      <c r="K16" s="5" t="s">
        <v>24</v>
      </c>
      <c r="L16" s="6">
        <v>1</v>
      </c>
    </row>
    <row r="17" spans="1:12" x14ac:dyDescent="0.25">
      <c r="A17" s="10" t="s">
        <v>16</v>
      </c>
      <c r="B17" s="11">
        <v>6000</v>
      </c>
      <c r="K17" s="5" t="s">
        <v>5</v>
      </c>
      <c r="L17" s="6">
        <v>8</v>
      </c>
    </row>
    <row r="18" spans="1:12" x14ac:dyDescent="0.25">
      <c r="A18" s="10" t="s">
        <v>17</v>
      </c>
      <c r="B18" s="11">
        <v>7500</v>
      </c>
    </row>
    <row r="19" spans="1:12" x14ac:dyDescent="0.25">
      <c r="A19" s="10" t="s">
        <v>18</v>
      </c>
      <c r="B19" s="11">
        <v>9000</v>
      </c>
    </row>
    <row r="22" spans="1:12" x14ac:dyDescent="0.25">
      <c r="A22" s="1" t="s">
        <v>1</v>
      </c>
      <c r="B22" s="1" t="s">
        <v>25</v>
      </c>
      <c r="C22" s="1" t="s">
        <v>26</v>
      </c>
      <c r="K22" s="4" t="s">
        <v>4</v>
      </c>
      <c r="L22" t="s">
        <v>30</v>
      </c>
    </row>
    <row r="23" spans="1:12" x14ac:dyDescent="0.25">
      <c r="A23" s="3" t="s">
        <v>3</v>
      </c>
      <c r="B23" s="8">
        <v>50000</v>
      </c>
      <c r="C23" s="8">
        <v>30000</v>
      </c>
      <c r="K23" s="5" t="s">
        <v>3</v>
      </c>
      <c r="L23" s="7">
        <v>20000</v>
      </c>
    </row>
    <row r="24" spans="1:12" x14ac:dyDescent="0.25">
      <c r="A24" s="3" t="s">
        <v>27</v>
      </c>
      <c r="B24" s="8">
        <v>40000</v>
      </c>
      <c r="C24" s="8">
        <v>25000</v>
      </c>
      <c r="K24" s="5" t="s">
        <v>27</v>
      </c>
      <c r="L24" s="7">
        <v>15000</v>
      </c>
    </row>
    <row r="25" spans="1:12" x14ac:dyDescent="0.25">
      <c r="A25" s="3" t="s">
        <v>28</v>
      </c>
      <c r="B25" s="8">
        <v>60000</v>
      </c>
      <c r="C25" s="8">
        <v>45000</v>
      </c>
      <c r="K25" s="5" t="s">
        <v>28</v>
      </c>
      <c r="L25" s="7">
        <v>15000</v>
      </c>
    </row>
    <row r="26" spans="1:12" x14ac:dyDescent="0.25">
      <c r="K26" s="5" t="s">
        <v>5</v>
      </c>
      <c r="L26" s="7">
        <v>50000</v>
      </c>
    </row>
  </sheetData>
  <pageMargins left="0.7" right="0.7" top="0.75" bottom="0.75" header="0.3" footer="0.3"/>
  <tableParts count="3"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I13" sqref="I13"/>
    </sheetView>
  </sheetViews>
  <sheetFormatPr defaultRowHeight="15" x14ac:dyDescent="0.25"/>
  <cols>
    <col min="1" max="1" width="12.5703125" bestFit="1" customWidth="1"/>
    <col min="2" max="2" width="12.5703125" customWidth="1"/>
    <col min="3" max="3" width="16.42578125" bestFit="1" customWidth="1"/>
    <col min="4" max="4" width="12.42578125" bestFit="1" customWidth="1"/>
    <col min="10" max="10" width="13.140625" bestFit="1" customWidth="1"/>
    <col min="11" max="11" width="15.7109375" customWidth="1"/>
    <col min="12" max="12" width="18.7109375" bestFit="1" customWidth="1"/>
    <col min="13" max="13" width="14.5703125" bestFit="1" customWidth="1"/>
    <col min="14" max="14" width="12.5703125" customWidth="1"/>
    <col min="15" max="15" width="20.140625" bestFit="1" customWidth="1"/>
  </cols>
  <sheetData>
    <row r="1" spans="1:15" x14ac:dyDescent="0.25">
      <c r="A1" s="9" t="s">
        <v>1</v>
      </c>
      <c r="B1" s="9" t="s">
        <v>2</v>
      </c>
      <c r="C1" s="9" t="s">
        <v>31</v>
      </c>
      <c r="D1" s="9" t="s">
        <v>32</v>
      </c>
    </row>
    <row r="2" spans="1:15" x14ac:dyDescent="0.25">
      <c r="A2" s="10" t="s">
        <v>3</v>
      </c>
      <c r="B2" s="10">
        <v>500</v>
      </c>
      <c r="C2" s="11">
        <v>80000</v>
      </c>
      <c r="D2" s="11">
        <v>50000</v>
      </c>
    </row>
    <row r="3" spans="1:15" x14ac:dyDescent="0.25">
      <c r="A3" s="10" t="s">
        <v>27</v>
      </c>
      <c r="B3" s="10">
        <v>350</v>
      </c>
      <c r="C3" s="11">
        <v>60000</v>
      </c>
      <c r="D3" s="11">
        <v>35000</v>
      </c>
      <c r="J3" s="4" t="s">
        <v>4</v>
      </c>
      <c r="K3" t="s">
        <v>6</v>
      </c>
      <c r="L3" t="s">
        <v>33</v>
      </c>
      <c r="M3" t="s">
        <v>34</v>
      </c>
      <c r="N3" t="s">
        <v>29</v>
      </c>
      <c r="O3" t="s">
        <v>35</v>
      </c>
    </row>
    <row r="4" spans="1:15" x14ac:dyDescent="0.25">
      <c r="A4" s="10" t="s">
        <v>28</v>
      </c>
      <c r="B4" s="10">
        <v>700</v>
      </c>
      <c r="C4" s="11">
        <v>100000</v>
      </c>
      <c r="D4" s="11">
        <v>75000</v>
      </c>
      <c r="J4" s="5" t="s">
        <v>3</v>
      </c>
      <c r="K4" s="6">
        <v>500</v>
      </c>
      <c r="L4" s="6">
        <v>80000</v>
      </c>
      <c r="M4" s="6">
        <v>50000</v>
      </c>
      <c r="N4" s="7">
        <v>30000</v>
      </c>
      <c r="O4" s="14">
        <v>0.375</v>
      </c>
    </row>
    <row r="5" spans="1:15" x14ac:dyDescent="0.25">
      <c r="J5" s="5" t="s">
        <v>28</v>
      </c>
      <c r="K5" s="6">
        <v>700</v>
      </c>
      <c r="L5" s="6">
        <v>100000</v>
      </c>
      <c r="M5" s="6">
        <v>75000</v>
      </c>
      <c r="N5" s="7">
        <v>25000</v>
      </c>
      <c r="O5" s="14">
        <v>0.25</v>
      </c>
    </row>
    <row r="6" spans="1:15" x14ac:dyDescent="0.25">
      <c r="J6" s="5" t="s">
        <v>27</v>
      </c>
      <c r="K6" s="6">
        <v>350</v>
      </c>
      <c r="L6" s="6">
        <v>60000</v>
      </c>
      <c r="M6" s="6">
        <v>35000</v>
      </c>
      <c r="N6" s="7">
        <v>25000</v>
      </c>
      <c r="O6" s="14">
        <v>0.41666666666666669</v>
      </c>
    </row>
    <row r="7" spans="1:15" x14ac:dyDescent="0.25">
      <c r="J7" s="5" t="s">
        <v>5</v>
      </c>
      <c r="K7" s="6">
        <v>1550</v>
      </c>
      <c r="L7" s="6">
        <v>240000</v>
      </c>
      <c r="M7" s="6">
        <v>160000</v>
      </c>
      <c r="N7" s="7">
        <v>80000</v>
      </c>
      <c r="O7" s="14">
        <v>0.33333333333333331</v>
      </c>
    </row>
    <row r="12" spans="1:15" x14ac:dyDescent="0.25">
      <c r="L12" s="12">
        <f>MAX(M4:M6)</f>
        <v>75000</v>
      </c>
      <c r="M12" s="13" t="str">
        <f>INDEX(J4:J6,MATCH(L12,M4:M6,0))</f>
        <v>Nigeria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Advance_Pivot_Table</vt:lpstr>
      <vt:lpstr>Advance_Pivot_Table_002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2026-10-22T13:03:40Z</dcterms:created>
  <dcterms:modified xsi:type="dcterms:W3CDTF">2026-10-22T14:42:03Z</dcterms:modified>
</cp:coreProperties>
</file>