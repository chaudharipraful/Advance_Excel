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5\"/>
    </mc:Choice>
  </mc:AlternateContent>
  <bookViews>
    <workbookView xWindow="0" yWindow="0" windowWidth="20490" windowHeight="69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4" l="1"/>
  <c r="E11" i="3"/>
  <c r="F3" i="3"/>
  <c r="D5" i="3"/>
  <c r="C5" i="3"/>
  <c r="D4" i="3"/>
  <c r="C4" i="3"/>
  <c r="D3" i="3"/>
  <c r="C3" i="3"/>
  <c r="D2" i="3"/>
  <c r="C2" i="3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<sst xmlns="http://schemas.openxmlformats.org/spreadsheetml/2006/main" count="71" uniqueCount="36">
  <si>
    <t>Customer</t>
  </si>
  <si>
    <t>Date</t>
  </si>
  <si>
    <t>Isnumber</t>
  </si>
  <si>
    <t>Extract_Day</t>
  </si>
  <si>
    <t>Extract_Month</t>
  </si>
  <si>
    <t>Extract_Year</t>
  </si>
  <si>
    <t>Rahul</t>
  </si>
  <si>
    <t>Priya</t>
  </si>
  <si>
    <t>Amit</t>
  </si>
  <si>
    <t>Shreya</t>
  </si>
  <si>
    <t>Customer ID</t>
  </si>
  <si>
    <t>Customer Name</t>
  </si>
  <si>
    <t>Country</t>
  </si>
  <si>
    <t>Segment</t>
  </si>
  <si>
    <t>C001</t>
  </si>
  <si>
    <t>Rahul Sharma</t>
  </si>
  <si>
    <t>Kenya</t>
  </si>
  <si>
    <t>Premium</t>
  </si>
  <si>
    <t>C002</t>
  </si>
  <si>
    <t>Priya Singh</t>
  </si>
  <si>
    <t>Nigeria</t>
  </si>
  <si>
    <t>Standard</t>
  </si>
  <si>
    <t>C003</t>
  </si>
  <si>
    <t>Amit Kumar</t>
  </si>
  <si>
    <t>Tanzania</t>
  </si>
  <si>
    <t>C004</t>
  </si>
  <si>
    <t>John Smith</t>
  </si>
  <si>
    <t>Sales</t>
  </si>
  <si>
    <t>Customer_Name</t>
  </si>
  <si>
    <t>Customer_Name (XLOOKUP)</t>
  </si>
  <si>
    <t>C005</t>
  </si>
  <si>
    <t>Status</t>
  </si>
  <si>
    <t>Won</t>
  </si>
  <si>
    <t>Lost</t>
  </si>
  <si>
    <t>C006</t>
  </si>
  <si>
    <t>total Won Sales in Kenya.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</si>
</sst>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15" fontId="0" fillId="0" borderId="0" xfId="0" applyNumberFormat="1"/>
    <xf numFmtId="0" fontId="1" fillId="0" borderId="0" xfId="0" applyFon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0" formatCode="&quot;₹&quot;\ #,##0;[Red]&quot;₹&quot;\ \-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t's_Work/004/praful_day04_excel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_Data_Quality"/>
      <sheetName val="Customer_Master_Table"/>
      <sheetName val="CRM_Sales_Table"/>
      <sheetName val="Data_Validation"/>
      <sheetName val="Remove_Duplicates"/>
      <sheetName val="Data_Standardize"/>
      <sheetName val="Date_Form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1" displayName="Table1" ref="A1:F5" totalsRowShown="0">
  <tableColumns count="6">
    <tableColumn id="1" name="Customer" dataDxfId="24"/>
    <tableColumn id="2" name="Date" dataDxfId="23"/>
    <tableColumn id="3" name="Isnumber">
      <calculatedColumnFormula>ISNUMBER(B2)</calculatedColumnFormula>
    </tableColumn>
    <tableColumn id="4" name="Extract_Day" dataDxfId="22">
      <calculatedColumnFormula>DAY(Table1[[#This Row],[Date]])</calculatedColumnFormula>
    </tableColumn>
    <tableColumn id="5" name="Extract_Month" dataDxfId="21">
      <calculatedColumnFormula>MONTH(Table1[[#This Row],[Date]])</calculatedColumnFormula>
    </tableColumn>
    <tableColumn id="6" name="Extract_Year" dataDxfId="20">
      <calculatedColumnFormula>YEAR(Table1[[#This Row],[Date]])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Customer_Master" displayName="Customer_Master" ref="A1:D5" totalsRowShown="0" headerRowDxfId="19" dataDxfId="18">
  <tableColumns count="4">
    <tableColumn id="1" name="Customer ID" dataDxfId="17"/>
    <tableColumn id="2" name="Customer Name" dataDxfId="16"/>
    <tableColumn id="3" name="Country" dataDxfId="15"/>
    <tableColumn id="4" name="Segment" dataDxfId="14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CRM_Sales_Data" displayName="CRM_Sales_Data" ref="A1:D5" totalsRowShown="0">
  <tableColumns count="4">
    <tableColumn id="1" name="Customer ID" dataDxfId="13"/>
    <tableColumn id="2" name="Sales" dataDxfId="12"/>
    <tableColumn id="3" name="Customer_Name" dataDxfId="11">
      <calculatedColumnFormula>IFERROR(INDEX([1]!Customer_Master[Customer Name], MATCH(CRM_Sales_Data[[#This Row],[Customer ID]], [1]!Customer_Master[Customer ID], 0)), "Not Available")</calculatedColumnFormula>
    </tableColumn>
    <tableColumn id="4" name="Customer_Name (XLOOKUP)" dataDxfId="10">
      <calculatedColumnFormula>LOOKUP(CRM_Sales_Data[[#This Row],[Customer ID]], [1]!Customer_Master[Customer ID], [1]!Customer_Master[Customer Name])</calculatedColumnFormula>
    </tableColumn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7" totalsRowShown="0" headerRowDxfId="4" dataDxfId="5">
  <tableColumns count="4">
    <tableColumn id="1" name="Customer ID" dataDxfId="9"/>
    <tableColumn id="2" name="Country" dataDxfId="8"/>
    <tableColumn id="3" name="Status" dataDxfId="7"/>
    <tableColumn id="4" name="Sales" dataDxfId="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5" totalsRowShown="0" headerRowDxfId="0" dataDxfId="1">
  <tableColumns count="2">
    <tableColumn id="1" name="Customer ID" dataDxfId="3"/>
    <tableColumn id="2" name="Customer Name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1" sqref="F11"/>
    </sheetView>
  </sheetViews>
  <sheetFormatPr defaultRowHeight="15" x14ac:dyDescent="0.25"/>
  <cols>
    <col min="1" max="1" width="9.5703125" bestFit="1" customWidth="1"/>
    <col min="2" max="2" width="9.85546875" bestFit="1" customWidth="1"/>
    <col min="3" max="3" width="9.42578125" bestFit="1" customWidth="1"/>
    <col min="4" max="4" width="11.28515625" bestFit="1" customWidth="1"/>
    <col min="5" max="5" width="14.14062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6</v>
      </c>
      <c r="B2" s="4">
        <v>46027</v>
      </c>
      <c r="C2" t="b">
        <f>ISNUMBER(B2)</f>
        <v>1</v>
      </c>
      <c r="D2">
        <f>DAY(Table1[[#This Row],[Date]])</f>
        <v>5</v>
      </c>
      <c r="E2">
        <f>MONTH(Table1[[#This Row],[Date]])</f>
        <v>1</v>
      </c>
      <c r="F2">
        <f>YEAR(Table1[[#This Row],[Date]])</f>
        <v>2026</v>
      </c>
    </row>
    <row r="3" spans="1:6" x14ac:dyDescent="0.25">
      <c r="A3" s="3" t="s">
        <v>7</v>
      </c>
      <c r="B3" s="4">
        <v>46068</v>
      </c>
      <c r="C3" t="b">
        <f t="shared" ref="C3:C5" si="0">ISNUMBER(B3)</f>
        <v>1</v>
      </c>
      <c r="D3">
        <f>DAY(Table1[[#This Row],[Date]])</f>
        <v>15</v>
      </c>
      <c r="E3">
        <f>MONTH(Table1[[#This Row],[Date]])</f>
        <v>2</v>
      </c>
      <c r="F3">
        <f>YEAR(Table1[[#This Row],[Date]])</f>
        <v>2026</v>
      </c>
    </row>
    <row r="4" spans="1:6" x14ac:dyDescent="0.25">
      <c r="A4" s="3" t="s">
        <v>8</v>
      </c>
      <c r="B4" s="4">
        <v>46101</v>
      </c>
      <c r="C4" t="b">
        <f t="shared" si="0"/>
        <v>1</v>
      </c>
      <c r="D4">
        <f>DAY(Table1[[#This Row],[Date]])</f>
        <v>20</v>
      </c>
      <c r="E4">
        <f>MONTH(Table1[[#This Row],[Date]])</f>
        <v>3</v>
      </c>
      <c r="F4">
        <f>YEAR(Table1[[#This Row],[Date]])</f>
        <v>2026</v>
      </c>
    </row>
    <row r="5" spans="1:6" x14ac:dyDescent="0.25">
      <c r="A5" s="3" t="s">
        <v>9</v>
      </c>
      <c r="B5" s="5">
        <v>46124</v>
      </c>
      <c r="C5" t="b">
        <f t="shared" si="0"/>
        <v>1</v>
      </c>
      <c r="D5">
        <f>DAY(Table1[[#This Row],[Date]])</f>
        <v>12</v>
      </c>
      <c r="E5">
        <f>MONTH(Table1[[#This Row],[Date]])</f>
        <v>4</v>
      </c>
      <c r="F5">
        <f>YEAR(Table1[[#This Row],[Date]])</f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8" sqref="E18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8.7109375" bestFit="1" customWidth="1"/>
  </cols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s="3" t="s">
        <v>14</v>
      </c>
      <c r="B2" s="3" t="s">
        <v>15</v>
      </c>
      <c r="C2" s="3" t="s">
        <v>16</v>
      </c>
      <c r="D2" s="3" t="s">
        <v>17</v>
      </c>
    </row>
    <row r="3" spans="1:4" x14ac:dyDescent="0.25">
      <c r="A3" s="3" t="s">
        <v>18</v>
      </c>
      <c r="B3" s="3" t="s">
        <v>19</v>
      </c>
      <c r="C3" s="3" t="s">
        <v>20</v>
      </c>
      <c r="D3" s="3" t="s">
        <v>21</v>
      </c>
    </row>
    <row r="4" spans="1:4" x14ac:dyDescent="0.25">
      <c r="A4" s="3" t="s">
        <v>22</v>
      </c>
      <c r="B4" s="3" t="s">
        <v>23</v>
      </c>
      <c r="C4" s="3" t="s">
        <v>24</v>
      </c>
      <c r="D4" s="3" t="s">
        <v>17</v>
      </c>
    </row>
    <row r="5" spans="1:4" x14ac:dyDescent="0.25">
      <c r="A5" s="3" t="s">
        <v>25</v>
      </c>
      <c r="B5" s="3" t="s">
        <v>26</v>
      </c>
      <c r="C5" s="3" t="s">
        <v>16</v>
      </c>
      <c r="D5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15" sqref="G15"/>
    </sheetView>
  </sheetViews>
  <sheetFormatPr defaultRowHeight="15" x14ac:dyDescent="0.25"/>
  <cols>
    <col min="1" max="1" width="11.85546875" bestFit="1" customWidth="1"/>
    <col min="2" max="2" width="8.140625" bestFit="1" customWidth="1"/>
    <col min="3" max="3" width="16" bestFit="1" customWidth="1"/>
    <col min="4" max="4" width="26.85546875" bestFit="1" customWidth="1"/>
    <col min="6" max="6" width="13.140625" bestFit="1" customWidth="1"/>
  </cols>
  <sheetData>
    <row r="1" spans="1:6" x14ac:dyDescent="0.25">
      <c r="A1" s="1" t="s">
        <v>10</v>
      </c>
      <c r="B1" s="6" t="s">
        <v>27</v>
      </c>
      <c r="C1" t="s">
        <v>28</v>
      </c>
      <c r="D1" t="s">
        <v>29</v>
      </c>
    </row>
    <row r="2" spans="1:6" x14ac:dyDescent="0.25">
      <c r="A2" s="3" t="s">
        <v>14</v>
      </c>
      <c r="B2" s="7">
        <v>50000</v>
      </c>
      <c r="C2" t="str">
        <f>IFERROR(INDEX([1]!Customer_Master[Customer Name], MATCH(CRM_Sales_Data[[#This Row],[Customer ID]], [1]!Customer_Master[Customer ID], 0)), "Not Available")</f>
        <v>Rahul Sharma</v>
      </c>
      <c r="D2" t="str">
        <f>LOOKUP(CRM_Sales_Data[[#This Row],[Customer ID]], [1]!Customer_Master[Customer ID], [1]!Customer_Master[Customer Name])</f>
        <v>Rahul Sharma</v>
      </c>
    </row>
    <row r="3" spans="1:6" x14ac:dyDescent="0.25">
      <c r="A3" s="3" t="s">
        <v>18</v>
      </c>
      <c r="B3" s="7">
        <v>75000</v>
      </c>
      <c r="C3" t="str">
        <f>IFERROR(INDEX([1]!Customer_Master[Customer Name], MATCH(CRM_Sales_Data[[#This Row],[Customer ID]], [1]!Customer_Master[Customer ID], 0)), "Not Available")</f>
        <v>Priya Singh</v>
      </c>
      <c r="D3" t="str">
        <f>LOOKUP(CRM_Sales_Data[[#This Row],[Customer ID]], [1]!Customer_Master[Customer ID], [1]!Customer_Master[Customer Name])</f>
        <v>Priya Singh</v>
      </c>
      <c r="F3" t="str">
        <f>INDEX(CRM_Sales_Data[Customer_Name], MATCH(Sheet3!A2, Customer_Master[Customer ID], 0))</f>
        <v>Rahul Sharma</v>
      </c>
    </row>
    <row r="4" spans="1:6" x14ac:dyDescent="0.25">
      <c r="A4" s="3" t="s">
        <v>30</v>
      </c>
      <c r="B4" s="7">
        <v>30000</v>
      </c>
      <c r="C4" t="str">
        <f>IFERROR(INDEX([1]!Customer_Master[Customer Name], MATCH(CRM_Sales_Data[[#This Row],[Customer ID]], [1]!Customer_Master[Customer ID], 0)), "Not Available")</f>
        <v>Not Available</v>
      </c>
      <c r="D4" t="str">
        <f>LOOKUP(CRM_Sales_Data[[#This Row],[Customer ID]], [1]!Customer_Master[Customer ID], [1]!Customer_Master[Customer Name])</f>
        <v>John Smith</v>
      </c>
    </row>
    <row r="5" spans="1:6" x14ac:dyDescent="0.25">
      <c r="A5" s="3" t="s">
        <v>22</v>
      </c>
      <c r="B5" s="7">
        <v>40000</v>
      </c>
      <c r="C5" t="str">
        <f>IFERROR(INDEX([1]!Customer_Master[Customer Name], MATCH(CRM_Sales_Data[[#This Row],[Customer ID]], [1]!Customer_Master[Customer ID], 0)), "Not Available")</f>
        <v>Amit Kumar</v>
      </c>
      <c r="D5" t="str">
        <f>LOOKUP(CRM_Sales_Data[[#This Row],[Customer ID]], [1]!Customer_Master[Customer ID], [1]!Customer_Master[Customer Name])</f>
        <v>Amit Kumar</v>
      </c>
    </row>
    <row r="11" spans="1:6" x14ac:dyDescent="0.25">
      <c r="D11" s="5">
        <v>46381</v>
      </c>
      <c r="E11" t="str">
        <f>TEXT("25-Dec-2026", "mmmm yyyy")</f>
        <v>December 2026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1" sqref="B11"/>
    </sheetView>
  </sheetViews>
  <sheetFormatPr defaultRowHeight="15" x14ac:dyDescent="0.25"/>
  <cols>
    <col min="1" max="1" width="16.42578125" bestFit="1" customWidth="1"/>
    <col min="2" max="2" width="23.7109375" bestFit="1" customWidth="1"/>
    <col min="3" max="3" width="11" bestFit="1" customWidth="1"/>
    <col min="4" max="4" width="6.5703125" bestFit="1" customWidth="1"/>
  </cols>
  <sheetData>
    <row r="1" spans="1:4" x14ac:dyDescent="0.25">
      <c r="A1" s="1" t="s">
        <v>10</v>
      </c>
      <c r="B1" s="1" t="s">
        <v>12</v>
      </c>
      <c r="C1" s="1" t="s">
        <v>31</v>
      </c>
      <c r="D1" s="6" t="s">
        <v>27</v>
      </c>
    </row>
    <row r="2" spans="1:4" x14ac:dyDescent="0.25">
      <c r="A2" s="3" t="s">
        <v>14</v>
      </c>
      <c r="B2" s="3" t="s">
        <v>16</v>
      </c>
      <c r="C2" s="3" t="s">
        <v>32</v>
      </c>
      <c r="D2" s="8">
        <v>50000</v>
      </c>
    </row>
    <row r="3" spans="1:4" x14ac:dyDescent="0.25">
      <c r="A3" s="3" t="s">
        <v>18</v>
      </c>
      <c r="B3" s="3" t="s">
        <v>20</v>
      </c>
      <c r="C3" s="3" t="s">
        <v>32</v>
      </c>
      <c r="D3" s="8">
        <v>75000</v>
      </c>
    </row>
    <row r="4" spans="1:4" x14ac:dyDescent="0.25">
      <c r="A4" s="3" t="s">
        <v>22</v>
      </c>
      <c r="B4" s="3" t="s">
        <v>16</v>
      </c>
      <c r="C4" s="3" t="s">
        <v>33</v>
      </c>
      <c r="D4" s="8">
        <v>30000</v>
      </c>
    </row>
    <row r="5" spans="1:4" x14ac:dyDescent="0.25">
      <c r="A5" s="3" t="s">
        <v>25</v>
      </c>
      <c r="B5" s="3" t="s">
        <v>16</v>
      </c>
      <c r="C5" s="3" t="s">
        <v>32</v>
      </c>
      <c r="D5" s="8">
        <v>40000</v>
      </c>
    </row>
    <row r="6" spans="1:4" x14ac:dyDescent="0.25">
      <c r="A6" s="3" t="s">
        <v>30</v>
      </c>
      <c r="B6" s="3" t="s">
        <v>24</v>
      </c>
      <c r="C6" s="3" t="s">
        <v>32</v>
      </c>
      <c r="D6" s="8">
        <v>60000</v>
      </c>
    </row>
    <row r="7" spans="1:4" x14ac:dyDescent="0.25">
      <c r="A7" s="3" t="s">
        <v>34</v>
      </c>
      <c r="B7" s="3" t="s">
        <v>16</v>
      </c>
      <c r="C7" s="3" t="s">
        <v>32</v>
      </c>
      <c r="D7" s="8">
        <v>25000</v>
      </c>
    </row>
    <row r="10" spans="1:4" x14ac:dyDescent="0.25">
      <c r="B10" s="10" t="s">
        <v>35</v>
      </c>
    </row>
    <row r="11" spans="1:4" x14ac:dyDescent="0.25">
      <c r="B11" s="9">
        <f>SUMIFS(Table4[Sales], Table4[Country], "Kenya", Table4[Status], "Won")</f>
        <v>115000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5" sqref="F5"/>
    </sheetView>
  </sheetViews>
  <sheetFormatPr defaultRowHeight="15" x14ac:dyDescent="0.25"/>
  <cols>
    <col min="1" max="1" width="16.42578125" bestFit="1" customWidth="1"/>
    <col min="2" max="2" width="20" bestFit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s="3" t="s">
        <v>14</v>
      </c>
      <c r="B2" s="3" t="s">
        <v>15</v>
      </c>
    </row>
    <row r="3" spans="1:2" x14ac:dyDescent="0.25">
      <c r="A3" s="3" t="s">
        <v>18</v>
      </c>
      <c r="B3" s="3" t="s">
        <v>19</v>
      </c>
    </row>
    <row r="4" spans="1:2" x14ac:dyDescent="0.25">
      <c r="A4" s="3" t="s">
        <v>22</v>
      </c>
      <c r="B4" s="3" t="s">
        <v>23</v>
      </c>
    </row>
    <row r="5" spans="1:2" x14ac:dyDescent="0.25">
      <c r="A5" s="3" t="s">
        <v>25</v>
      </c>
      <c r="B5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2026-10-06T07:11:01Z</dcterms:created>
  <dcterms:modified xsi:type="dcterms:W3CDTF">2026-10-06T08:12:46Z</dcterms:modified>
</cp:coreProperties>
</file>