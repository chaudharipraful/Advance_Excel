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t's_Work\005\"/>
    </mc:Choice>
  </mc:AlternateContent>
  <bookViews>
    <workbookView xWindow="0" yWindow="0" windowWidth="20490" windowHeight="6900" firstSheet="1" activeTab="4"/>
  </bookViews>
  <sheets>
    <sheet name="KPI_Calculations" sheetId="1" r:id="rId1"/>
    <sheet name="KPI_Calculations_002" sheetId="2" r:id="rId2"/>
    <sheet name="KPI_Calculations_003" sheetId="3" r:id="rId3"/>
    <sheet name="KPI_Calculations_004" sheetId="4" r:id="rId4"/>
    <sheet name="KPI_Calculations_00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5" l="1"/>
  <c r="G4" i="5"/>
  <c r="G5" i="5"/>
  <c r="G2" i="5"/>
  <c r="F3" i="5"/>
  <c r="F4" i="5"/>
  <c r="F5" i="5"/>
  <c r="F2" i="5"/>
  <c r="E3" i="5"/>
  <c r="E4" i="5"/>
  <c r="E5" i="5"/>
  <c r="E2" i="5"/>
  <c r="G3" i="4"/>
  <c r="G4" i="4"/>
  <c r="G2" i="4"/>
  <c r="F3" i="4"/>
  <c r="F4" i="4"/>
  <c r="F2" i="4"/>
  <c r="E3" i="4"/>
  <c r="E4" i="4"/>
  <c r="E2" i="4"/>
  <c r="G3" i="3" l="1"/>
  <c r="G4" i="3"/>
  <c r="G5" i="3"/>
  <c r="G2" i="3"/>
  <c r="F3" i="3"/>
  <c r="F4" i="3"/>
  <c r="F5" i="3"/>
  <c r="F2" i="3"/>
  <c r="E3" i="3"/>
  <c r="E4" i="3"/>
  <c r="E5" i="3"/>
  <c r="E2" i="3"/>
  <c r="G3" i="2"/>
  <c r="G4" i="2"/>
  <c r="G5" i="2"/>
  <c r="G2" i="2"/>
  <c r="F3" i="2"/>
  <c r="F4" i="2"/>
  <c r="F5" i="2"/>
  <c r="F2" i="2"/>
  <c r="E3" i="2"/>
  <c r="E4" i="2"/>
  <c r="E5" i="2"/>
  <c r="E2" i="2"/>
  <c r="H2" i="1"/>
  <c r="F2" i="1"/>
  <c r="D2" i="1"/>
</calcChain>
</file>

<file path=xl/sharedStrings.xml><?xml version="1.0" encoding="utf-8"?>
<sst xmlns="http://schemas.openxmlformats.org/spreadsheetml/2006/main" count="44" uniqueCount="28">
  <si>
    <t>Target</t>
  </si>
  <si>
    <t>Actual</t>
  </si>
  <si>
    <t>Total_Achievement_%</t>
  </si>
  <si>
    <t>Variance</t>
  </si>
  <si>
    <t>Variance_%</t>
  </si>
  <si>
    <t>Country</t>
  </si>
  <si>
    <t>Actual Sales</t>
  </si>
  <si>
    <t>Kenya</t>
  </si>
  <si>
    <t>Nigeria</t>
  </si>
  <si>
    <t>Tanzania</t>
  </si>
  <si>
    <t>Uganda</t>
  </si>
  <si>
    <t>Achievement_%</t>
  </si>
  <si>
    <t>Branch</t>
  </si>
  <si>
    <t>A</t>
  </si>
  <si>
    <t>B</t>
  </si>
  <si>
    <t>C</t>
  </si>
  <si>
    <t>D</t>
  </si>
  <si>
    <t>Achivement_%</t>
  </si>
  <si>
    <t>Product</t>
  </si>
  <si>
    <t>Product X</t>
  </si>
  <si>
    <t>Product Y</t>
  </si>
  <si>
    <t>Product Z</t>
  </si>
  <si>
    <t>Avhievement_%</t>
  </si>
  <si>
    <t>Salesperson</t>
  </si>
  <si>
    <t>Rahul</t>
  </si>
  <si>
    <t>Priya</t>
  </si>
  <si>
    <t>Amit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</si>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</sst>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0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/>
    <xf numFmtId="10" fontId="0" fillId="0" borderId="1" xfId="0" applyNumberForma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2" fontId="1" fillId="0" borderId="0" xfId="0" applyNumberFormat="1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2" fontId="0" fillId="0" borderId="0" xfId="0" applyNumberFormat="1"/>
    <xf numFmtId="0" fontId="1" fillId="0" borderId="0" xfId="0" applyFont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10" fontId="0" fillId="0" borderId="1" xfId="0" applyNumberFormat="1" applyFill="1" applyBorder="1"/>
    <xf numFmtId="0" fontId="0" fillId="0" borderId="1" xfId="0" applyFill="1" applyBorder="1"/>
    <xf numFmtId="10" fontId="1" fillId="0" borderId="1" xfId="0" applyNumberFormat="1" applyFont="1" applyFill="1" applyBorder="1"/>
    <xf numFmtId="0" fontId="1" fillId="0" borderId="1" xfId="0" applyFont="1" applyFill="1" applyBorder="1"/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0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6">
    <dxf>
      <numFmt numFmtId="2" formatCode="0.00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numFmt numFmtId="3" formatCode="#,##0"/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C5" totalsRowShown="0">
  <tableColumns count="3">
    <tableColumn id="1" name="Country" dataDxfId="5"/>
    <tableColumn id="2" name="Actual Sales" dataDxfId="4"/>
    <tableColumn id="3" name="Target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5" totalsRowShown="0">
  <tableColumns count="3">
    <tableColumn id="1" name="Branch" dataDxfId="2"/>
    <tableColumn id="2" name="Actual" dataDxfId="0"/>
    <tableColumn id="3" name="Target" dataDxfId="1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8" sqref="F8"/>
    </sheetView>
  </sheetViews>
  <sheetFormatPr defaultRowHeight="15" x14ac:dyDescent="0.25"/>
  <cols>
    <col min="1" max="1" width="13.42578125" bestFit="1" customWidth="1"/>
    <col min="2" max="2" width="12.28515625" bestFit="1" customWidth="1"/>
    <col min="4" max="4" width="21.140625" bestFit="1" customWidth="1"/>
    <col min="6" max="6" width="13.140625" bestFit="1" customWidth="1"/>
    <col min="7" max="7" width="9.140625" style="1"/>
    <col min="8" max="8" width="11.28515625" bestFit="1" customWidth="1"/>
  </cols>
  <sheetData>
    <row r="1" spans="1:8" x14ac:dyDescent="0.25">
      <c r="A1" s="12" t="s">
        <v>0</v>
      </c>
      <c r="B1" s="12" t="s">
        <v>1</v>
      </c>
      <c r="D1" s="13" t="s">
        <v>2</v>
      </c>
      <c r="F1" s="14" t="s">
        <v>3</v>
      </c>
      <c r="H1" s="14" t="s">
        <v>4</v>
      </c>
    </row>
    <row r="2" spans="1:8" x14ac:dyDescent="0.25">
      <c r="A2" s="2">
        <v>1000000</v>
      </c>
      <c r="B2" s="2">
        <v>850000</v>
      </c>
      <c r="D2" s="5">
        <f>B2/A2</f>
        <v>0.85</v>
      </c>
      <c r="F2" s="9">
        <f>B2-A2</f>
        <v>-150000</v>
      </c>
      <c r="H2" s="11">
        <f>(B2-A2)/A2</f>
        <v>-0.15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zoomScaleNormal="100" workbookViewId="0">
      <selection activeCell="C10" sqref="C10"/>
    </sheetView>
  </sheetViews>
  <sheetFormatPr defaultRowHeight="15" x14ac:dyDescent="0.25"/>
  <cols>
    <col min="1" max="1" width="12.5703125" bestFit="1" customWidth="1"/>
    <col min="2" max="2" width="11.5703125" bestFit="1" customWidth="1"/>
    <col min="3" max="3" width="8.140625" bestFit="1" customWidth="1"/>
    <col min="5" max="5" width="15.5703125" bestFit="1" customWidth="1"/>
    <col min="7" max="7" width="11.28515625" bestFit="1" customWidth="1"/>
  </cols>
  <sheetData>
    <row r="1" spans="1:7" x14ac:dyDescent="0.25">
      <c r="A1" s="19" t="s">
        <v>5</v>
      </c>
      <c r="B1" s="20" t="s">
        <v>6</v>
      </c>
      <c r="C1" s="20" t="s">
        <v>0</v>
      </c>
      <c r="E1" s="13" t="s">
        <v>11</v>
      </c>
      <c r="F1" s="13" t="s">
        <v>3</v>
      </c>
      <c r="G1" s="13" t="s">
        <v>4</v>
      </c>
    </row>
    <row r="2" spans="1:7" x14ac:dyDescent="0.25">
      <c r="A2" s="21" t="s">
        <v>7</v>
      </c>
      <c r="B2" s="22">
        <v>220000</v>
      </c>
      <c r="C2" s="22">
        <v>200000</v>
      </c>
      <c r="E2" s="5">
        <f>Table1[[#This Row],[Actual Sales]]/Table1[[#This Row],[Target]]</f>
        <v>1.1000000000000001</v>
      </c>
      <c r="F2" s="4">
        <f>Table1[[#This Row],[Actual Sales]]-Table1[[#This Row],[Target]]</f>
        <v>20000</v>
      </c>
      <c r="G2" s="5">
        <f>(Table1[[#This Row],[Actual Sales]]-Table1[[#This Row],[Target]])/Table1[[#This Row],[Target]]</f>
        <v>0.1</v>
      </c>
    </row>
    <row r="3" spans="1:7" x14ac:dyDescent="0.25">
      <c r="A3" s="21" t="s">
        <v>8</v>
      </c>
      <c r="B3" s="22">
        <v>180000</v>
      </c>
      <c r="C3" s="22">
        <v>250000</v>
      </c>
      <c r="E3" s="5">
        <f>Table1[[#This Row],[Actual Sales]]/Table1[[#This Row],[Target]]</f>
        <v>0.72</v>
      </c>
      <c r="F3" s="4">
        <f>Table1[[#This Row],[Actual Sales]]-Table1[[#This Row],[Target]]</f>
        <v>-70000</v>
      </c>
      <c r="G3" s="5">
        <f>(Table1[[#This Row],[Actual Sales]]-Table1[[#This Row],[Target]])/Table1[[#This Row],[Target]]</f>
        <v>-0.28000000000000003</v>
      </c>
    </row>
    <row r="4" spans="1:7" x14ac:dyDescent="0.25">
      <c r="A4" s="21" t="s">
        <v>9</v>
      </c>
      <c r="B4" s="22">
        <v>150000</v>
      </c>
      <c r="C4" s="22">
        <v>150000</v>
      </c>
      <c r="E4" s="5">
        <f>Table1[[#This Row],[Actual Sales]]/Table1[[#This Row],[Target]]</f>
        <v>1</v>
      </c>
      <c r="F4" s="4">
        <f>Table1[[#This Row],[Actual Sales]]-Table1[[#This Row],[Target]]</f>
        <v>0</v>
      </c>
      <c r="G4" s="5">
        <f>(Table1[[#This Row],[Actual Sales]]-Table1[[#This Row],[Target]])/Table1[[#This Row],[Target]]</f>
        <v>0</v>
      </c>
    </row>
    <row r="5" spans="1:7" x14ac:dyDescent="0.25">
      <c r="A5" s="21" t="s">
        <v>10</v>
      </c>
      <c r="B5" s="22">
        <v>100000</v>
      </c>
      <c r="C5" s="22">
        <v>80000</v>
      </c>
      <c r="E5" s="5">
        <f>Table1[[#This Row],[Actual Sales]]/Table1[[#This Row],[Target]]</f>
        <v>1.25</v>
      </c>
      <c r="F5" s="4">
        <f>Table1[[#This Row],[Actual Sales]]-Table1[[#This Row],[Target]]</f>
        <v>20000</v>
      </c>
      <c r="G5" s="5">
        <f>(Table1[[#This Row],[Actual Sales]]-Table1[[#This Row],[Target]])/Table1[[#This Row],[Target]]</f>
        <v>0.25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A3" sqref="A3"/>
    </sheetView>
  </sheetViews>
  <sheetFormatPr defaultRowHeight="15" x14ac:dyDescent="0.25"/>
  <cols>
    <col min="1" max="1" width="11.5703125" bestFit="1" customWidth="1"/>
    <col min="2" max="2" width="12" style="25" customWidth="1"/>
    <col min="3" max="3" width="10.140625" customWidth="1"/>
    <col min="5" max="5" width="14.42578125" bestFit="1" customWidth="1"/>
    <col min="7" max="7" width="11.28515625" style="1" bestFit="1" customWidth="1"/>
  </cols>
  <sheetData>
    <row r="1" spans="1:8" x14ac:dyDescent="0.25">
      <c r="A1" s="15" t="s">
        <v>12</v>
      </c>
      <c r="B1" s="23" t="s">
        <v>1</v>
      </c>
      <c r="C1" s="17" t="s">
        <v>0</v>
      </c>
      <c r="E1" s="14" t="s">
        <v>17</v>
      </c>
      <c r="F1" s="14" t="s">
        <v>3</v>
      </c>
      <c r="G1" s="27" t="s">
        <v>4</v>
      </c>
      <c r="H1" s="26"/>
    </row>
    <row r="2" spans="1:8" x14ac:dyDescent="0.25">
      <c r="A2" s="18" t="s">
        <v>13</v>
      </c>
      <c r="B2" s="24">
        <v>500</v>
      </c>
      <c r="C2" s="16">
        <v>450</v>
      </c>
      <c r="E2" s="11">
        <f>Table2[[#This Row],[Actual]]/Table2[[#This Row],[Target]]</f>
        <v>1.1111111111111112</v>
      </c>
      <c r="F2" s="8">
        <f>Table2[[#This Row],[Actual]]-Table2[[#This Row],[Target]]</f>
        <v>50</v>
      </c>
      <c r="G2" s="11">
        <f>(Table2[[#This Row],[Actual]]-Table2[[#This Row],[Target]])/Table2[[#This Row],[Target]]</f>
        <v>0.1111111111111111</v>
      </c>
      <c r="H2" s="3"/>
    </row>
    <row r="3" spans="1:8" x14ac:dyDescent="0.25">
      <c r="A3" s="18" t="s">
        <v>14</v>
      </c>
      <c r="B3" s="24">
        <v>300</v>
      </c>
      <c r="C3" s="16">
        <v>250</v>
      </c>
      <c r="E3" s="11">
        <f>Table2[[#This Row],[Actual]]/Table2[[#This Row],[Target]]</f>
        <v>1.2</v>
      </c>
      <c r="F3" s="8">
        <f>Table2[[#This Row],[Actual]]-Table2[[#This Row],[Target]]</f>
        <v>50</v>
      </c>
      <c r="G3" s="11">
        <f>(Table2[[#This Row],[Actual]]-Table2[[#This Row],[Target]])/Table2[[#This Row],[Target]]</f>
        <v>0.2</v>
      </c>
      <c r="H3" s="3"/>
    </row>
    <row r="4" spans="1:8" x14ac:dyDescent="0.25">
      <c r="A4" s="18" t="s">
        <v>15</v>
      </c>
      <c r="B4" s="24">
        <v>400</v>
      </c>
      <c r="C4" s="16">
        <v>500</v>
      </c>
      <c r="E4" s="11">
        <f>Table2[[#This Row],[Actual]]/Table2[[#This Row],[Target]]</f>
        <v>0.8</v>
      </c>
      <c r="F4" s="8">
        <f>Table2[[#This Row],[Actual]]-Table2[[#This Row],[Target]]</f>
        <v>-100</v>
      </c>
      <c r="G4" s="11">
        <f>(Table2[[#This Row],[Actual]]-Table2[[#This Row],[Target]])/Table2[[#This Row],[Target]]</f>
        <v>-0.2</v>
      </c>
      <c r="H4" s="3"/>
    </row>
    <row r="5" spans="1:8" x14ac:dyDescent="0.25">
      <c r="A5" s="18" t="s">
        <v>16</v>
      </c>
      <c r="B5" s="24">
        <v>200</v>
      </c>
      <c r="C5" s="16">
        <v>180</v>
      </c>
      <c r="E5" s="11">
        <f>Table2[[#This Row],[Actual]]/Table2[[#This Row],[Target]]</f>
        <v>1.1111111111111112</v>
      </c>
      <c r="F5" s="8">
        <f>Table2[[#This Row],[Actual]]-Table2[[#This Row],[Target]]</f>
        <v>20</v>
      </c>
      <c r="G5" s="11">
        <f>(Table2[[#This Row],[Actual]]-Table2[[#This Row],[Target]])/Table2[[#This Row],[Target]]</f>
        <v>0.1111111111111111</v>
      </c>
      <c r="H5" s="3"/>
    </row>
    <row r="6" spans="1:8" x14ac:dyDescent="0.25">
      <c r="B6" s="2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J4" sqref="J4"/>
    </sheetView>
  </sheetViews>
  <sheetFormatPr defaultRowHeight="15" x14ac:dyDescent="0.25"/>
  <cols>
    <col min="5" max="5" width="15.7109375" style="1" bestFit="1" customWidth="1"/>
    <col min="7" max="7" width="11.28515625" style="1" bestFit="1" customWidth="1"/>
  </cols>
  <sheetData>
    <row r="1" spans="1:7" x14ac:dyDescent="0.25">
      <c r="A1" s="6" t="s">
        <v>18</v>
      </c>
      <c r="B1" s="32" t="s">
        <v>1</v>
      </c>
      <c r="C1" s="32" t="s">
        <v>0</v>
      </c>
      <c r="E1" s="30" t="s">
        <v>22</v>
      </c>
      <c r="F1" s="31" t="s">
        <v>3</v>
      </c>
      <c r="G1" s="30" t="s">
        <v>4</v>
      </c>
    </row>
    <row r="2" spans="1:7" x14ac:dyDescent="0.25">
      <c r="A2" s="33" t="s">
        <v>19</v>
      </c>
      <c r="B2" s="34">
        <v>600</v>
      </c>
      <c r="C2" s="34">
        <v>500</v>
      </c>
      <c r="E2" s="28">
        <f>B2/C2</f>
        <v>1.2</v>
      </c>
      <c r="F2" s="29">
        <f>B2-C2</f>
        <v>100</v>
      </c>
      <c r="G2" s="28">
        <f>(B2/C2)/C2</f>
        <v>2.3999999999999998E-3</v>
      </c>
    </row>
    <row r="3" spans="1:7" x14ac:dyDescent="0.25">
      <c r="A3" s="33" t="s">
        <v>20</v>
      </c>
      <c r="B3" s="34">
        <v>400</v>
      </c>
      <c r="C3" s="34">
        <v>300</v>
      </c>
      <c r="E3" s="28">
        <f t="shared" ref="E3:E4" si="0">B3/C3</f>
        <v>1.3333333333333333</v>
      </c>
      <c r="F3" s="29">
        <f t="shared" ref="F3:F4" si="1">B3-C3</f>
        <v>100</v>
      </c>
      <c r="G3" s="28">
        <f t="shared" ref="G3:G4" si="2">(B3/C3)/C3</f>
        <v>4.4444444444444444E-3</v>
      </c>
    </row>
    <row r="4" spans="1:7" x14ac:dyDescent="0.25">
      <c r="A4" s="33" t="s">
        <v>21</v>
      </c>
      <c r="B4" s="34">
        <v>250</v>
      </c>
      <c r="C4" s="34">
        <v>200</v>
      </c>
      <c r="E4" s="28">
        <f t="shared" si="0"/>
        <v>1.25</v>
      </c>
      <c r="F4" s="29">
        <f t="shared" si="1"/>
        <v>50</v>
      </c>
      <c r="G4" s="28">
        <f t="shared" si="2"/>
        <v>6.2500000000000003E-3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K6" sqref="K6"/>
    </sheetView>
  </sheetViews>
  <sheetFormatPr defaultRowHeight="15" x14ac:dyDescent="0.25"/>
  <cols>
    <col min="1" max="1" width="13" customWidth="1"/>
    <col min="5" max="5" width="15.5703125" style="1" bestFit="1" customWidth="1"/>
    <col min="7" max="7" width="11.28515625" style="1" bestFit="1" customWidth="1"/>
  </cols>
  <sheetData>
    <row r="1" spans="1:7" x14ac:dyDescent="0.25">
      <c r="A1" s="37" t="s">
        <v>23</v>
      </c>
      <c r="B1" s="38" t="s">
        <v>1</v>
      </c>
      <c r="C1" s="38" t="s">
        <v>0</v>
      </c>
      <c r="E1" s="39" t="s">
        <v>11</v>
      </c>
      <c r="F1" s="40" t="s">
        <v>3</v>
      </c>
      <c r="G1" s="39" t="s">
        <v>4</v>
      </c>
    </row>
    <row r="2" spans="1:7" x14ac:dyDescent="0.25">
      <c r="A2" s="35" t="s">
        <v>24</v>
      </c>
      <c r="B2" s="36">
        <v>500</v>
      </c>
      <c r="C2" s="36">
        <v>400</v>
      </c>
      <c r="E2" s="10">
        <f>B2/C2</f>
        <v>1.25</v>
      </c>
      <c r="F2" s="7">
        <f>B2-C2</f>
        <v>100</v>
      </c>
      <c r="G2" s="10">
        <f>(B2-C2)/C2</f>
        <v>0.25</v>
      </c>
    </row>
    <row r="3" spans="1:7" x14ac:dyDescent="0.25">
      <c r="A3" s="35" t="s">
        <v>25</v>
      </c>
      <c r="B3" s="36">
        <v>450</v>
      </c>
      <c r="C3" s="36">
        <v>350</v>
      </c>
      <c r="E3" s="10">
        <f t="shared" ref="E3:E5" si="0">B3/C3</f>
        <v>1.2857142857142858</v>
      </c>
      <c r="F3" s="7">
        <f t="shared" ref="F3:F5" si="1">B3-C3</f>
        <v>100</v>
      </c>
      <c r="G3" s="10">
        <f t="shared" ref="G3:G5" si="2">(B3-C3)/C3</f>
        <v>0.2857142857142857</v>
      </c>
    </row>
    <row r="4" spans="1:7" x14ac:dyDescent="0.25">
      <c r="A4" s="35" t="s">
        <v>26</v>
      </c>
      <c r="B4" s="36">
        <v>300</v>
      </c>
      <c r="C4" s="36">
        <v>200</v>
      </c>
      <c r="E4" s="10">
        <f t="shared" si="0"/>
        <v>1.5</v>
      </c>
      <c r="F4" s="7">
        <f t="shared" si="1"/>
        <v>100</v>
      </c>
      <c r="G4" s="10">
        <f t="shared" si="2"/>
        <v>0.5</v>
      </c>
    </row>
    <row r="5" spans="1:7" x14ac:dyDescent="0.25">
      <c r="A5" s="35" t="s">
        <v>27</v>
      </c>
      <c r="B5" s="36">
        <v>600</v>
      </c>
      <c r="C5" s="36">
        <v>550</v>
      </c>
      <c r="E5" s="10">
        <f t="shared" si="0"/>
        <v>1.0909090909090908</v>
      </c>
      <c r="F5" s="7">
        <f t="shared" si="1"/>
        <v>50</v>
      </c>
      <c r="G5" s="10">
        <f t="shared" si="2"/>
        <v>9.0909090909090912E-2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KPI_Calculations</vt:lpstr>
      <vt:lpstr>KPI_Calculations_002</vt:lpstr>
      <vt:lpstr>KPI_Calculations_003</vt:lpstr>
      <vt:lpstr>KPI_Calculations_004</vt:lpstr>
      <vt:lpstr>KPI_Calculations_005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2026-10-06T11:33:02Z</dcterms:created>
  <dcterms:modified xsi:type="dcterms:W3CDTF">2026-10-06T14:26:20Z</dcterms:modified>
</cp:coreProperties>
</file>