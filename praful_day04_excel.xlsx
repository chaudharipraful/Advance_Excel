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4\"/>
    </mc:Choice>
  </mc:AlternateContent>
  <bookViews>
    <workbookView xWindow="0" yWindow="0" windowWidth="20490" windowHeight="7500" activeTab="3"/>
  </bookViews>
  <sheets>
    <sheet name="Quick_Revision" sheetId="1" r:id="rId1"/>
    <sheet name="Cell_Reference" sheetId="2" r:id="rId2"/>
    <sheet name="Logical_Statement" sheetId="3" r:id="rId3"/>
    <sheet name="Criteria-Base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4" l="1"/>
  <c r="F5" i="4"/>
  <c r="H17" i="4"/>
  <c r="G13" i="4"/>
  <c r="B13" i="4"/>
  <c r="H3" i="3"/>
  <c r="H4" i="3"/>
  <c r="H5" i="3"/>
  <c r="H2" i="3"/>
  <c r="G2" i="3"/>
  <c r="G3" i="3"/>
  <c r="G4" i="3"/>
  <c r="G5" i="3"/>
  <c r="F2" i="3"/>
  <c r="F3" i="3"/>
  <c r="F4" i="3"/>
  <c r="F5" i="3"/>
  <c r="G11" i="1"/>
  <c r="F11" i="1"/>
  <c r="E11" i="1"/>
  <c r="D11" i="1"/>
  <c r="F8" i="1"/>
  <c r="E8" i="1"/>
  <c r="D8" i="1"/>
  <c r="E2" i="1"/>
  <c r="E3" i="1"/>
  <c r="E4" i="1"/>
  <c r="E5" i="1"/>
  <c r="D2" i="1"/>
  <c r="D3" i="1"/>
  <c r="D4" i="1"/>
  <c r="D5" i="1"/>
</calcChain>
</file>

<file path=xl/sharedStrings.xml><?xml version="1.0" encoding="utf-8"?>
<sst xmlns="http://schemas.openxmlformats.org/spreadsheetml/2006/main" count="96" uniqueCount="48">
  <si>
    <t>Salesperson</t>
  </si>
  <si>
    <t>Actual</t>
  </si>
  <si>
    <t>Target</t>
  </si>
  <si>
    <t>Amit</t>
  </si>
  <si>
    <t>Priya</t>
  </si>
  <si>
    <t>John</t>
  </si>
  <si>
    <t>Sarah</t>
  </si>
  <si>
    <t>Achievement_%</t>
  </si>
  <si>
    <t>Variance</t>
  </si>
  <si>
    <t>Highest_Achevement_%</t>
  </si>
  <si>
    <t>Negative_Largest_Variance</t>
  </si>
  <si>
    <t>Total_Actual_Sales</t>
  </si>
  <si>
    <t>Average_Actual_Sales</t>
  </si>
  <si>
    <t>Highest_Actual_Sales</t>
  </si>
  <si>
    <t>Lowest_Actual_Sales</t>
  </si>
  <si>
    <t>Reference</t>
  </si>
  <si>
    <t>Column changes?</t>
  </si>
  <si>
    <t>Row changes?</t>
  </si>
  <si>
    <t>A1</t>
  </si>
  <si>
    <t>$A$1</t>
  </si>
  <si>
    <t>A$1</t>
  </si>
  <si>
    <t>$A1</t>
  </si>
  <si>
    <t>Yes</t>
  </si>
  <si>
    <t>No</t>
  </si>
  <si>
    <t>Rating</t>
  </si>
  <si>
    <t>Leads</t>
  </si>
  <si>
    <t>A</t>
  </si>
  <si>
    <t>B</t>
  </si>
  <si>
    <t>C</t>
  </si>
  <si>
    <t>D</t>
  </si>
  <si>
    <t>Achievement</t>
  </si>
  <si>
    <t>Bonus_Eligibility</t>
  </si>
  <si>
    <t>Priority_Folloup</t>
  </si>
  <si>
    <t>Country</t>
  </si>
  <si>
    <t>Product</t>
  </si>
  <si>
    <t>Sales</t>
  </si>
  <si>
    <t>Status</t>
  </si>
  <si>
    <t>Kenya</t>
  </si>
  <si>
    <t>Insurance</t>
  </si>
  <si>
    <t>Achieved</t>
  </si>
  <si>
    <t>Loans</t>
  </si>
  <si>
    <t>Not Achieved</t>
  </si>
  <si>
    <t>Nigeria</t>
  </si>
  <si>
    <t>Tanzania</t>
  </si>
  <si>
    <t>Total_Sales</t>
  </si>
  <si>
    <t>Counts</t>
  </si>
  <si>
    <t>Average_Loan_Sales</t>
  </si>
  <si>
    <t>Average_Insurance_Sales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</si>
</sst>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 &quot;₹&quot;\ * #,##0.00_ ;_ &quot;₹&quot;\ * \-#,##0.00_ ;_ &quot;₹&quot;\ * &quot;-&quot;??_ ;_ @_ "/>
    <numFmt numFmtId="168" formatCode="0.0%"/>
    <numFmt numFmtId="170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168" fontId="0" fillId="0" borderId="0" xfId="0" applyNumberFormat="1"/>
    <xf numFmtId="16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4" fontId="0" fillId="0" borderId="0" xfId="0" applyNumberFormat="1"/>
    <xf numFmtId="44" fontId="1" fillId="0" borderId="1" xfId="0" applyNumberFormat="1" applyFon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2" fontId="0" fillId="0" borderId="0" xfId="0" applyNumberFormat="1"/>
    <xf numFmtId="170" fontId="0" fillId="0" borderId="0" xfId="0" applyNumberFormat="1"/>
    <xf numFmtId="170" fontId="1" fillId="0" borderId="0" xfId="0" applyNumberFormat="1" applyFont="1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44" fontId="1" fillId="0" borderId="0" xfId="0" applyNumberFormat="1" applyFont="1" applyAlignment="1">
      <alignment horizontal="right" vertical="center"/>
    </xf>
    <xf numFmtId="44" fontId="0" fillId="0" borderId="0" xfId="0" applyNumberFormat="1" applyAlignment="1">
      <alignment horizontal="right" vertical="center"/>
    </xf>
    <xf numFmtId="44" fontId="0" fillId="0" borderId="1" xfId="0" applyNumberFormat="1" applyBorder="1"/>
    <xf numFmtId="170" fontId="0" fillId="0" borderId="1" xfId="0" applyNumberFormat="1" applyBorder="1"/>
    <xf numFmtId="0" fontId="1" fillId="0" borderId="1" xfId="0" applyNumberFormat="1" applyFont="1" applyBorder="1"/>
    <xf numFmtId="44" fontId="1" fillId="0" borderId="1" xfId="0" applyNumberFormat="1" applyFont="1" applyBorder="1"/>
    <xf numFmtId="0" fontId="1" fillId="0" borderId="1" xfId="0" applyFont="1" applyBorder="1"/>
    <xf numFmtId="0" fontId="0" fillId="0" borderId="0" xfId="0" applyAlignment="1">
      <alignment horizontal="right" vertic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4" formatCode="_ &quot;₹&quot;\ * #,##0.00_ ;_ &quot;₹&quot;\ * \-#,##0.00_ ;_ &quot;₹&quot;\ * &quot;-&quot;??_ ;_ @_ "/>
      <alignment horizontal="right" vertical="center" textRotation="0" wrapText="0" indent="0" justifyLastLine="0" shrinkToFit="0" readingOrder="0"/>
    </dxf>
    <dxf>
      <numFmt numFmtId="168" formatCode="0.0%"/>
    </dxf>
    <dxf>
      <numFmt numFmtId="170" formatCode="&quot;₹&quot;\ #,##0.0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4" formatCode="_ &quot;₹&quot;\ * #,##0.00_ ;_ &quot;₹&quot;\ * \-#,##0.0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E5" totalsRowShown="0">
  <tableColumns count="5">
    <tableColumn id="1" name="Salesperson" dataDxfId="18"/>
    <tableColumn id="2" name="Actual" dataDxfId="17"/>
    <tableColumn id="3" name="Target" dataDxfId="15"/>
    <tableColumn id="4" name="Achievement_%" dataDxfId="16">
      <calculatedColumnFormula>Table1[[#This Row],[Actual]]/Table1[[#This Row],[Target]]</calculatedColumnFormula>
    </tableColumn>
    <tableColumn id="5" name="Variance" dataDxfId="19">
      <calculatedColumnFormula>Table1[[#This Row],[Actual]]-Table1[[#This Row],[Target]]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5" totalsRowShown="0" headerRowDxfId="9">
  <tableColumns count="8">
    <tableColumn id="1" name="Salesperson" dataDxfId="14"/>
    <tableColumn id="2" name="Actual" dataDxfId="13"/>
    <tableColumn id="3" name="Target" dataDxfId="12"/>
    <tableColumn id="4" name="Rating" dataDxfId="11"/>
    <tableColumn id="5" name="Leads" dataDxfId="10"/>
    <tableColumn id="6" name="Achievement" dataDxfId="8">
      <calculatedColumnFormula>IF(Table2[[#This Row],[Actual]] &gt;=Table2[[#This Row],[Target]], "Achieved", "Not Achieved")</calculatedColumnFormula>
    </tableColumn>
    <tableColumn id="7" name="Bonus_Eligibility" dataDxfId="7">
      <calculatedColumnFormula>IF(AND(Table2[[#This Row],[Actual]] &gt;= Table2[[#This Row],[Target]], Table2[[#This Row],[Rating]] &gt;= 4, Table2[[#This Row],[Leads]] &gt;= 50), "Eligible", "Not Eligible")</calculatedColumnFormula>
    </tableColumn>
    <tableColumn id="8" name="Priority_Folloup" dataDxfId="6">
      <calculatedColumnFormula>IF(OR(Table2[[#This Row],[Actual]] &lt; Table2[[#This Row],[Target]], Table2[[#This Row],[Rating]] &lt; 3), "Priority_Folloup", "Normal_Folloup")</calculatedColumnFormula>
    </tableColumn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D9" totalsRowShown="0" headerRowDxfId="0" dataDxfId="1">
  <tableColumns count="4">
    <tableColumn id="1" name="Country" dataDxfId="5"/>
    <tableColumn id="2" name="Product" dataDxfId="4"/>
    <tableColumn id="3" name="Sales" dataDxfId="3"/>
    <tableColumn id="4" name="Status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G11" sqref="G11"/>
    </sheetView>
  </sheetViews>
  <sheetFormatPr defaultRowHeight="15" x14ac:dyDescent="0.25"/>
  <cols>
    <col min="1" max="1" width="11.7109375" customWidth="1"/>
    <col min="2" max="2" width="12.28515625" style="14" bestFit="1" customWidth="1"/>
    <col min="3" max="3" width="13.28515625" style="10" bestFit="1" customWidth="1"/>
    <col min="4" max="4" width="23" style="5" customWidth="1"/>
    <col min="5" max="5" width="26.42578125" style="10" customWidth="1"/>
    <col min="6" max="6" width="20.140625" bestFit="1" customWidth="1"/>
    <col min="7" max="7" width="19.7109375" bestFit="1" customWidth="1"/>
  </cols>
  <sheetData>
    <row r="1" spans="1:7" x14ac:dyDescent="0.25">
      <c r="A1" s="1" t="s">
        <v>0</v>
      </c>
      <c r="B1" s="15" t="s">
        <v>1</v>
      </c>
      <c r="C1" s="17" t="s">
        <v>2</v>
      </c>
      <c r="D1" s="5" t="s">
        <v>7</v>
      </c>
      <c r="E1" s="10" t="s">
        <v>8</v>
      </c>
    </row>
    <row r="2" spans="1:7" x14ac:dyDescent="0.25">
      <c r="A2" s="3" t="s">
        <v>3</v>
      </c>
      <c r="B2" s="16">
        <v>120000</v>
      </c>
      <c r="C2" s="18">
        <v>100000</v>
      </c>
      <c r="D2" s="5">
        <f>Table1[[#This Row],[Actual]]/Table1[[#This Row],[Target]]</f>
        <v>1.2</v>
      </c>
      <c r="E2" s="10">
        <f>Table1[[#This Row],[Actual]]-Table1[[#This Row],[Target]]</f>
        <v>20000</v>
      </c>
    </row>
    <row r="3" spans="1:7" x14ac:dyDescent="0.25">
      <c r="A3" s="3" t="s">
        <v>4</v>
      </c>
      <c r="B3" s="16">
        <v>85000</v>
      </c>
      <c r="C3" s="18">
        <v>100000</v>
      </c>
      <c r="D3" s="5">
        <f>Table1[[#This Row],[Actual]]/Table1[[#This Row],[Target]]</f>
        <v>0.85</v>
      </c>
      <c r="E3" s="10">
        <f>Table1[[#This Row],[Actual]]-Table1[[#This Row],[Target]]</f>
        <v>-15000</v>
      </c>
    </row>
    <row r="4" spans="1:7" x14ac:dyDescent="0.25">
      <c r="A4" s="3" t="s">
        <v>5</v>
      </c>
      <c r="B4" s="16">
        <v>150000</v>
      </c>
      <c r="C4" s="18">
        <v>120000</v>
      </c>
      <c r="D4" s="5">
        <f>Table1[[#This Row],[Actual]]/Table1[[#This Row],[Target]]</f>
        <v>1.25</v>
      </c>
      <c r="E4" s="10">
        <f>Table1[[#This Row],[Actual]]-Table1[[#This Row],[Target]]</f>
        <v>30000</v>
      </c>
    </row>
    <row r="5" spans="1:7" x14ac:dyDescent="0.25">
      <c r="A5" s="3" t="s">
        <v>6</v>
      </c>
      <c r="B5" s="16">
        <v>90000</v>
      </c>
      <c r="C5" s="18">
        <v>100000</v>
      </c>
      <c r="D5" s="5">
        <f>Table1[[#This Row],[Actual]]/Table1[[#This Row],[Target]]</f>
        <v>0.9</v>
      </c>
      <c r="E5" s="10">
        <f>Table1[[#This Row],[Actual]]-Table1[[#This Row],[Target]]</f>
        <v>-10000</v>
      </c>
    </row>
    <row r="7" spans="1:7" x14ac:dyDescent="0.25">
      <c r="D7" s="8" t="s">
        <v>9</v>
      </c>
      <c r="E7" s="11" t="s">
        <v>10</v>
      </c>
      <c r="F7" s="9" t="s">
        <v>0</v>
      </c>
    </row>
    <row r="8" spans="1:7" x14ac:dyDescent="0.25">
      <c r="D8" s="6">
        <f>MAX(Table1[Achievement_%])</f>
        <v>1.25</v>
      </c>
      <c r="E8" s="12">
        <f>MIN(Table1[Variance])</f>
        <v>-15000</v>
      </c>
      <c r="F8" s="7" t="str">
        <f>IF(E2=E8,A2,IF(E3=E8,A3,IF(E4=E8,A4,IF(E5=E8,A5))))</f>
        <v>Priya</v>
      </c>
    </row>
    <row r="10" spans="1:7" x14ac:dyDescent="0.25">
      <c r="D10" s="21" t="s">
        <v>11</v>
      </c>
      <c r="E10" s="22" t="s">
        <v>12</v>
      </c>
      <c r="F10" s="23" t="s">
        <v>13</v>
      </c>
      <c r="G10" s="23" t="s">
        <v>14</v>
      </c>
    </row>
    <row r="11" spans="1:7" x14ac:dyDescent="0.25">
      <c r="D11" s="20">
        <f>SUM(Table1[Actual])</f>
        <v>445000</v>
      </c>
      <c r="E11" s="19">
        <f>AVERAGE(Table1[Actual])</f>
        <v>111250</v>
      </c>
      <c r="F11" s="20">
        <f>MAX(Table1[Actual])</f>
        <v>150000</v>
      </c>
      <c r="G11" s="19">
        <f>MIN(Table1[Actual])</f>
        <v>85000</v>
      </c>
    </row>
    <row r="17" spans="7:7" x14ac:dyDescent="0.25">
      <c r="G17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5"/>
    </sheetView>
  </sheetViews>
  <sheetFormatPr defaultRowHeight="15" x14ac:dyDescent="0.25"/>
  <cols>
    <col min="1" max="1" width="10.140625" bestFit="1" customWidth="1"/>
    <col min="2" max="2" width="16.5703125" bestFit="1" customWidth="1"/>
    <col min="3" max="3" width="13.5703125" bestFit="1" customWidth="1"/>
  </cols>
  <sheetData>
    <row r="1" spans="1:3" x14ac:dyDescent="0.25">
      <c r="A1" s="1" t="s">
        <v>15</v>
      </c>
      <c r="B1" s="1" t="s">
        <v>16</v>
      </c>
      <c r="C1" s="1" t="s">
        <v>17</v>
      </c>
    </row>
    <row r="2" spans="1:3" x14ac:dyDescent="0.25">
      <c r="A2" s="3" t="s">
        <v>18</v>
      </c>
      <c r="B2" s="3" t="s">
        <v>22</v>
      </c>
      <c r="C2" s="3" t="s">
        <v>22</v>
      </c>
    </row>
    <row r="3" spans="1:3" x14ac:dyDescent="0.25">
      <c r="A3" s="3" t="s">
        <v>19</v>
      </c>
      <c r="B3" s="3" t="s">
        <v>23</v>
      </c>
      <c r="C3" s="3" t="s">
        <v>23</v>
      </c>
    </row>
    <row r="4" spans="1:3" x14ac:dyDescent="0.25">
      <c r="A4" s="3" t="s">
        <v>20</v>
      </c>
      <c r="B4" s="3" t="s">
        <v>22</v>
      </c>
      <c r="C4" s="3" t="s">
        <v>23</v>
      </c>
    </row>
    <row r="5" spans="1:3" x14ac:dyDescent="0.25">
      <c r="A5" s="3" t="s">
        <v>21</v>
      </c>
      <c r="B5" s="3" t="s">
        <v>23</v>
      </c>
      <c r="C5" s="3" t="s">
        <v>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H2" sqref="H2"/>
    </sheetView>
  </sheetViews>
  <sheetFormatPr defaultRowHeight="15" x14ac:dyDescent="0.25"/>
  <cols>
    <col min="1" max="1" width="16.28515625" bestFit="1" customWidth="1"/>
    <col min="2" max="3" width="8.140625" bestFit="1" customWidth="1"/>
    <col min="4" max="4" width="6.5703125" bestFit="1" customWidth="1"/>
    <col min="5" max="5" width="6" bestFit="1" customWidth="1"/>
    <col min="6" max="6" width="12.85546875" bestFit="1" customWidth="1"/>
    <col min="7" max="7" width="15.85546875" bestFit="1" customWidth="1"/>
    <col min="8" max="8" width="15.425781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24</v>
      </c>
      <c r="E1" s="2" t="s">
        <v>25</v>
      </c>
      <c r="F1" s="2" t="s">
        <v>30</v>
      </c>
      <c r="G1" s="2" t="s">
        <v>31</v>
      </c>
      <c r="H1" s="2" t="s">
        <v>32</v>
      </c>
    </row>
    <row r="2" spans="1:8" x14ac:dyDescent="0.25">
      <c r="A2" s="3" t="s">
        <v>26</v>
      </c>
      <c r="B2" s="4">
        <v>120000</v>
      </c>
      <c r="C2" s="4">
        <v>100000</v>
      </c>
      <c r="D2" s="24">
        <v>4.5</v>
      </c>
      <c r="E2" s="24">
        <v>60</v>
      </c>
      <c r="F2" t="str">
        <f>IF(Table2[[#This Row],[Actual]] &gt;=Table2[[#This Row],[Target]], "Achieved", "Not Achieved")</f>
        <v>Achieved</v>
      </c>
      <c r="G2" t="str">
        <f>IF(AND(Table2[[#This Row],[Actual]] &gt;= Table2[[#This Row],[Target]], Table2[[#This Row],[Rating]] &gt;= 4, Table2[[#This Row],[Leads]] &gt;= 50), "Eligible", "Not Eligible")</f>
        <v>Eligible</v>
      </c>
      <c r="H2" t="str">
        <f>IF(OR(Table2[[#This Row],[Actual]] &lt; Table2[[#This Row],[Target]], Table2[[#This Row],[Rating]] &lt; 3), "Priority_Folloup", "Normal_Folloup")</f>
        <v>Normal_Folloup</v>
      </c>
    </row>
    <row r="3" spans="1:8" x14ac:dyDescent="0.25">
      <c r="A3" s="3" t="s">
        <v>27</v>
      </c>
      <c r="B3" s="4">
        <v>95000</v>
      </c>
      <c r="C3" s="4">
        <v>100000</v>
      </c>
      <c r="D3" s="24">
        <v>4.5</v>
      </c>
      <c r="E3" s="24">
        <v>70</v>
      </c>
      <c r="F3" t="str">
        <f>IF(Table2[[#This Row],[Actual]] &gt;=Table2[[#This Row],[Target]], "Achieved", "Not Achieved")</f>
        <v>Not Achieved</v>
      </c>
      <c r="G3" t="str">
        <f>IF(AND(Table2[[#This Row],[Actual]] &gt;= Table2[[#This Row],[Target]], Table2[[#This Row],[Rating]] &gt;= 4, Table2[[#This Row],[Leads]] &gt;= 50), "Eligible", "Not Eligible")</f>
        <v>Not Eligible</v>
      </c>
      <c r="H3" t="str">
        <f>IF(OR(Table2[[#This Row],[Actual]] &lt; Table2[[#This Row],[Target]], Table2[[#This Row],[Rating]] &lt; 3), "Priority_Folloup", "Normal_Folloup")</f>
        <v>Priority_Folloup</v>
      </c>
    </row>
    <row r="4" spans="1:8" x14ac:dyDescent="0.25">
      <c r="A4" s="3" t="s">
        <v>28</v>
      </c>
      <c r="B4" s="4">
        <v>110000</v>
      </c>
      <c r="C4" s="4">
        <v>100000</v>
      </c>
      <c r="D4" s="24">
        <v>3.5</v>
      </c>
      <c r="E4" s="24">
        <v>80</v>
      </c>
      <c r="F4" t="str">
        <f>IF(Table2[[#This Row],[Actual]] &gt;=Table2[[#This Row],[Target]], "Achieved", "Not Achieved")</f>
        <v>Achieved</v>
      </c>
      <c r="G4" t="str">
        <f>IF(AND(Table2[[#This Row],[Actual]] &gt;= Table2[[#This Row],[Target]], Table2[[#This Row],[Rating]] &gt;= 4, Table2[[#This Row],[Leads]] &gt;= 50), "Eligible", "Not Eligible")</f>
        <v>Not Eligible</v>
      </c>
      <c r="H4" t="str">
        <f>IF(OR(Table2[[#This Row],[Actual]] &lt; Table2[[#This Row],[Target]], Table2[[#This Row],[Rating]] &lt; 3), "Priority_Folloup", "Normal_Folloup")</f>
        <v>Normal_Folloup</v>
      </c>
    </row>
    <row r="5" spans="1:8" x14ac:dyDescent="0.25">
      <c r="A5" s="3" t="s">
        <v>29</v>
      </c>
      <c r="B5" s="4">
        <v>100000</v>
      </c>
      <c r="C5" s="4">
        <v>100000</v>
      </c>
      <c r="D5" s="24">
        <v>4</v>
      </c>
      <c r="E5" s="24">
        <v>45</v>
      </c>
      <c r="F5" t="str">
        <f>IF(Table2[[#This Row],[Actual]] &gt;=Table2[[#This Row],[Target]], "Achieved", "Not Achieved")</f>
        <v>Achieved</v>
      </c>
      <c r="G5" t="str">
        <f>IF(AND(Table2[[#This Row],[Actual]] &gt;= Table2[[#This Row],[Target]], Table2[[#This Row],[Rating]] &gt;= 4, Table2[[#This Row],[Leads]] &gt;= 50), "Eligible", "Not Eligible")</f>
        <v>Not Eligible</v>
      </c>
      <c r="H5" t="str">
        <f>IF(OR(Table2[[#This Row],[Actual]] &lt; Table2[[#This Row],[Target]], Table2[[#This Row],[Rating]] &lt; 3), "Priority_Folloup", "Normal_Folloup")</f>
        <v>Normal_Folloup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J7" sqref="J7"/>
    </sheetView>
  </sheetViews>
  <sheetFormatPr defaultRowHeight="15" x14ac:dyDescent="0.25"/>
  <cols>
    <col min="1" max="1" width="12.5703125" bestFit="1" customWidth="1"/>
    <col min="2" max="2" width="12.42578125" bestFit="1" customWidth="1"/>
    <col min="3" max="3" width="6.5703125" bestFit="1" customWidth="1"/>
    <col min="4" max="4" width="13.140625" bestFit="1" customWidth="1"/>
    <col min="5" max="5" width="8" customWidth="1"/>
    <col min="6" max="6" width="24" bestFit="1" customWidth="1"/>
    <col min="7" max="7" width="11" bestFit="1" customWidth="1"/>
    <col min="10" max="10" width="24" bestFit="1" customWidth="1"/>
    <col min="11" max="11" width="8.7109375" customWidth="1"/>
    <col min="12" max="12" width="9.5703125" bestFit="1" customWidth="1"/>
  </cols>
  <sheetData>
    <row r="1" spans="1:12" x14ac:dyDescent="0.25">
      <c r="A1" s="1" t="s">
        <v>33</v>
      </c>
      <c r="B1" s="1" t="s">
        <v>34</v>
      </c>
      <c r="C1" s="2" t="s">
        <v>35</v>
      </c>
      <c r="D1" s="1" t="s">
        <v>36</v>
      </c>
    </row>
    <row r="2" spans="1:12" x14ac:dyDescent="0.25">
      <c r="A2" s="3" t="s">
        <v>37</v>
      </c>
      <c r="B2" s="3" t="s">
        <v>38</v>
      </c>
      <c r="C2" s="4">
        <v>20000</v>
      </c>
      <c r="D2" s="3" t="s">
        <v>39</v>
      </c>
    </row>
    <row r="3" spans="1:12" x14ac:dyDescent="0.25">
      <c r="A3" s="3" t="s">
        <v>37</v>
      </c>
      <c r="B3" s="3" t="s">
        <v>40</v>
      </c>
      <c r="C3" s="4">
        <v>15000</v>
      </c>
      <c r="D3" s="3" t="s">
        <v>41</v>
      </c>
    </row>
    <row r="4" spans="1:12" x14ac:dyDescent="0.25">
      <c r="A4" s="3" t="s">
        <v>42</v>
      </c>
      <c r="B4" s="3" t="s">
        <v>38</v>
      </c>
      <c r="C4" s="4">
        <v>25000</v>
      </c>
      <c r="D4" s="3" t="s">
        <v>39</v>
      </c>
      <c r="F4" s="9" t="s">
        <v>47</v>
      </c>
      <c r="G4" s="9" t="s">
        <v>33</v>
      </c>
      <c r="H4" s="9" t="s">
        <v>34</v>
      </c>
      <c r="J4" s="9" t="s">
        <v>46</v>
      </c>
      <c r="K4" s="9" t="s">
        <v>33</v>
      </c>
      <c r="L4" s="9" t="s">
        <v>34</v>
      </c>
    </row>
    <row r="5" spans="1:12" x14ac:dyDescent="0.25">
      <c r="A5" s="3" t="s">
        <v>37</v>
      </c>
      <c r="B5" s="3" t="s">
        <v>38</v>
      </c>
      <c r="C5" s="4">
        <v>30000</v>
      </c>
      <c r="D5" s="3" t="s">
        <v>39</v>
      </c>
      <c r="F5" s="7">
        <f>AVERAGEIFS(Table3[Sales], Table3[Country], G5, Table3[Product], H5)</f>
        <v>22000</v>
      </c>
      <c r="G5" s="7" t="s">
        <v>43</v>
      </c>
      <c r="H5" s="7" t="s">
        <v>38</v>
      </c>
      <c r="J5" s="7">
        <f>AVERAGEIFS(Table3[Sales], Table3[Country], K5, Table3[Product], L5)</f>
        <v>12500</v>
      </c>
      <c r="K5" s="7" t="s">
        <v>37</v>
      </c>
      <c r="L5" s="7" t="s">
        <v>40</v>
      </c>
    </row>
    <row r="6" spans="1:12" x14ac:dyDescent="0.25">
      <c r="A6" s="3" t="s">
        <v>42</v>
      </c>
      <c r="B6" s="3" t="s">
        <v>40</v>
      </c>
      <c r="C6" s="4">
        <v>18000</v>
      </c>
      <c r="D6" s="3" t="s">
        <v>41</v>
      </c>
    </row>
    <row r="7" spans="1:12" x14ac:dyDescent="0.25">
      <c r="A7" s="3" t="s">
        <v>37</v>
      </c>
      <c r="B7" s="3" t="s">
        <v>40</v>
      </c>
      <c r="C7" s="4">
        <v>10000</v>
      </c>
      <c r="D7" s="3" t="s">
        <v>39</v>
      </c>
    </row>
    <row r="8" spans="1:12" x14ac:dyDescent="0.25">
      <c r="A8" s="3" t="s">
        <v>43</v>
      </c>
      <c r="B8" s="3" t="s">
        <v>38</v>
      </c>
      <c r="C8" s="4">
        <v>22000</v>
      </c>
      <c r="D8" s="3" t="s">
        <v>39</v>
      </c>
    </row>
    <row r="9" spans="1:12" x14ac:dyDescent="0.25">
      <c r="A9" s="3" t="s">
        <v>43</v>
      </c>
      <c r="B9" s="3" t="s">
        <v>40</v>
      </c>
      <c r="C9" s="4">
        <v>13000</v>
      </c>
      <c r="D9" s="3" t="s">
        <v>41</v>
      </c>
    </row>
    <row r="12" spans="1:12" x14ac:dyDescent="0.25">
      <c r="A12" s="9" t="s">
        <v>33</v>
      </c>
      <c r="B12" s="9" t="s">
        <v>44</v>
      </c>
      <c r="E12" s="9" t="s">
        <v>33</v>
      </c>
      <c r="F12" s="9" t="s">
        <v>34</v>
      </c>
      <c r="G12" s="9" t="s">
        <v>44</v>
      </c>
    </row>
    <row r="13" spans="1:12" x14ac:dyDescent="0.25">
      <c r="A13" s="7" t="s">
        <v>37</v>
      </c>
      <c r="B13" s="7">
        <f>SUMIF(Table3[Country], A13, Table3[Sales])</f>
        <v>75000</v>
      </c>
      <c r="E13" s="7" t="s">
        <v>37</v>
      </c>
      <c r="F13" s="7" t="s">
        <v>38</v>
      </c>
      <c r="G13" s="7">
        <f>SUMIFS(Table3[Sales], Table3[Country], E13, Table3[Product], F13)</f>
        <v>50000</v>
      </c>
    </row>
    <row r="16" spans="1:12" x14ac:dyDescent="0.25">
      <c r="E16" s="9" t="s">
        <v>33</v>
      </c>
      <c r="F16" s="9" t="s">
        <v>34</v>
      </c>
      <c r="G16" s="9" t="s">
        <v>36</v>
      </c>
      <c r="H16" s="9" t="s">
        <v>45</v>
      </c>
    </row>
    <row r="17" spans="5:8" x14ac:dyDescent="0.25">
      <c r="E17" s="7" t="s">
        <v>37</v>
      </c>
      <c r="F17" s="7" t="s">
        <v>40</v>
      </c>
      <c r="G17" s="7" t="s">
        <v>39</v>
      </c>
      <c r="H17" s="7">
        <f>COUNTIFS(Table3[Country], E17, Table3[Product], F17, Table3[Status], G17)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Quick_Revision</vt:lpstr>
      <vt:lpstr>Cell_Reference</vt:lpstr>
      <vt:lpstr>Logical_Statement</vt:lpstr>
      <vt:lpstr>Criteria-Based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2026-10-05T07:06:36Z</dcterms:created>
  <dcterms:modified xsi:type="dcterms:W3CDTF">2026-10-05T08:06:18Z</dcterms:modified>
</cp:coreProperties>
</file>