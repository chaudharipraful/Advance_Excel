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7\"/>
    </mc:Choice>
  </mc:AlternateContent>
  <bookViews>
    <workbookView xWindow="0" yWindow="0" windowWidth="20490" windowHeight="6900" firstSheet="1" activeTab="2"/>
  </bookViews>
  <sheets>
    <sheet name="Formulas_Challenge" sheetId="1" r:id="rId1"/>
    <sheet name="KPI_Calculations_Challenge" sheetId="2" r:id="rId2"/>
    <sheet name="Case_Study" sheetId="3" r:id="rId3"/>
    <sheet name="Helping_Table" sheetId="4" r:id="rId4"/>
    <sheet name="KPI_Calculation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5" l="1"/>
  <c r="A17" i="5" s="1"/>
  <c r="J3" i="4"/>
  <c r="J2" i="4"/>
  <c r="L2" i="4" s="1"/>
  <c r="M2" i="4" s="1"/>
  <c r="I3" i="4"/>
  <c r="K3" i="4" s="1"/>
  <c r="I2" i="4"/>
  <c r="K2" i="4" s="1"/>
  <c r="B20" i="5" s="1"/>
  <c r="A20" i="5" s="1"/>
  <c r="C20" i="4"/>
  <c r="C21" i="4"/>
  <c r="C22" i="4"/>
  <c r="C19" i="4"/>
  <c r="B20" i="4"/>
  <c r="E20" i="4" s="1"/>
  <c r="F20" i="4" s="1"/>
  <c r="B21" i="4"/>
  <c r="E21" i="4" s="1"/>
  <c r="F21" i="4" s="1"/>
  <c r="B22" i="4"/>
  <c r="E22" i="4" s="1"/>
  <c r="F22" i="4" s="1"/>
  <c r="B19" i="4"/>
  <c r="C10" i="4"/>
  <c r="C11" i="4"/>
  <c r="C12" i="4"/>
  <c r="C13" i="4"/>
  <c r="C14" i="4"/>
  <c r="C15" i="4"/>
  <c r="C16" i="4"/>
  <c r="C9" i="4"/>
  <c r="B10" i="4"/>
  <c r="E10" i="4" s="1"/>
  <c r="F10" i="4" s="1"/>
  <c r="B11" i="4"/>
  <c r="E11" i="4" s="1"/>
  <c r="F11" i="4" s="1"/>
  <c r="B12" i="4"/>
  <c r="E12" i="4" s="1"/>
  <c r="F12" i="4" s="1"/>
  <c r="B13" i="4"/>
  <c r="D13" i="4" s="1"/>
  <c r="B14" i="4"/>
  <c r="E14" i="4" s="1"/>
  <c r="F14" i="4" s="1"/>
  <c r="B15" i="4"/>
  <c r="E15" i="4" s="1"/>
  <c r="F15" i="4" s="1"/>
  <c r="B16" i="4"/>
  <c r="E16" i="4" s="1"/>
  <c r="F16" i="4" s="1"/>
  <c r="B9" i="4"/>
  <c r="E9" i="4" s="1"/>
  <c r="C5" i="4"/>
  <c r="B5" i="4"/>
  <c r="C4" i="4"/>
  <c r="B4" i="4"/>
  <c r="E4" i="4" s="1"/>
  <c r="F4" i="4" s="1"/>
  <c r="C3" i="4"/>
  <c r="B3" i="4"/>
  <c r="C2" i="4"/>
  <c r="B2" i="4"/>
  <c r="E2" i="4" s="1"/>
  <c r="F2" i="4" s="1"/>
  <c r="E9" i="5" l="1"/>
  <c r="D9" i="5" s="1"/>
  <c r="F9" i="4"/>
  <c r="D9" i="4"/>
  <c r="E13" i="4"/>
  <c r="F13" i="4" s="1"/>
  <c r="E3" i="5"/>
  <c r="D3" i="5" s="1"/>
  <c r="D16" i="4"/>
  <c r="D12" i="4"/>
  <c r="L3" i="4"/>
  <c r="M3" i="4" s="1"/>
  <c r="B3" i="5"/>
  <c r="A3" i="5" s="1"/>
  <c r="E3" i="4"/>
  <c r="F3" i="4" s="1"/>
  <c r="B12" i="5" s="1"/>
  <c r="A12" i="5" s="1"/>
  <c r="E5" i="4"/>
  <c r="F5" i="4" s="1"/>
  <c r="D15" i="4"/>
  <c r="D11" i="4"/>
  <c r="E14" i="5"/>
  <c r="D14" i="5" s="1"/>
  <c r="D14" i="4"/>
  <c r="D10" i="4"/>
  <c r="D22" i="4"/>
  <c r="D21" i="4"/>
  <c r="D20" i="4"/>
  <c r="D19" i="4"/>
  <c r="E19" i="4"/>
  <c r="D2" i="4"/>
  <c r="D3" i="4"/>
  <c r="D4" i="4"/>
  <c r="D5" i="4"/>
  <c r="J2" i="3"/>
  <c r="J10" i="3"/>
  <c r="J3" i="3"/>
  <c r="K3" i="3" s="1"/>
  <c r="J11" i="3"/>
  <c r="K11" i="3" s="1"/>
  <c r="J4" i="3"/>
  <c r="J12" i="3"/>
  <c r="K12" i="3" s="1"/>
  <c r="J5" i="3"/>
  <c r="K5" i="3" s="1"/>
  <c r="J13" i="3"/>
  <c r="K13" i="3" s="1"/>
  <c r="J6" i="3"/>
  <c r="J14" i="3"/>
  <c r="K14" i="3" s="1"/>
  <c r="J7" i="3"/>
  <c r="K7" i="3" s="1"/>
  <c r="J15" i="3"/>
  <c r="K15" i="3" s="1"/>
  <c r="J8" i="3"/>
  <c r="J16" i="3"/>
  <c r="K16" i="3" s="1"/>
  <c r="J9" i="3"/>
  <c r="K9" i="3" s="1"/>
  <c r="J17" i="3"/>
  <c r="K17" i="3" s="1"/>
  <c r="I2" i="3"/>
  <c r="I10" i="3"/>
  <c r="I3" i="3"/>
  <c r="I11" i="3"/>
  <c r="I4" i="3"/>
  <c r="I12" i="3"/>
  <c r="I5" i="3"/>
  <c r="I13" i="3"/>
  <c r="I6" i="3"/>
  <c r="I14" i="3"/>
  <c r="I7" i="3"/>
  <c r="I15" i="3"/>
  <c r="I8" i="3"/>
  <c r="I16" i="3"/>
  <c r="I9" i="3"/>
  <c r="I17" i="3"/>
  <c r="F2" i="2"/>
  <c r="F3" i="2"/>
  <c r="F4" i="2"/>
  <c r="F5" i="2"/>
  <c r="E2" i="2"/>
  <c r="E3" i="2"/>
  <c r="E4" i="2"/>
  <c r="E5" i="2"/>
  <c r="D2" i="2"/>
  <c r="D3" i="2"/>
  <c r="D4" i="2"/>
  <c r="D5" i="2"/>
  <c r="G2" i="1"/>
  <c r="G3" i="1"/>
  <c r="G4" i="1"/>
  <c r="G5" i="1"/>
  <c r="G6" i="1"/>
  <c r="G7" i="1"/>
  <c r="F2" i="1"/>
  <c r="F3" i="1"/>
  <c r="F4" i="1"/>
  <c r="F5" i="1"/>
  <c r="F6" i="1"/>
  <c r="F7" i="1"/>
  <c r="E2" i="1"/>
  <c r="E3" i="1"/>
  <c r="E4" i="1"/>
  <c r="E5" i="1"/>
  <c r="E6" i="1"/>
  <c r="E7" i="1"/>
  <c r="K20" i="1"/>
  <c r="K17" i="1"/>
  <c r="K14" i="1"/>
  <c r="K11" i="1"/>
  <c r="K5" i="1"/>
  <c r="B9" i="5" l="1"/>
  <c r="A9" i="5" s="1"/>
  <c r="B6" i="5"/>
  <c r="A6" i="5" s="1"/>
  <c r="E6" i="5"/>
  <c r="D6" i="5" s="1"/>
  <c r="E17" i="5"/>
  <c r="D17" i="5" s="1"/>
  <c r="F19" i="4"/>
  <c r="E20" i="5"/>
  <c r="D20" i="5" s="1"/>
  <c r="K8" i="3"/>
  <c r="K6" i="3"/>
  <c r="K4" i="3"/>
  <c r="K2" i="3"/>
  <c r="K10" i="3"/>
  <c r="K8" i="1"/>
  <c r="K2" i="1"/>
</calcChain>
</file>

<file path=xl/sharedStrings.xml><?xml version="1.0" encoding="utf-8"?>
<sst xmlns="http://schemas.openxmlformats.org/spreadsheetml/2006/main" count="217" uniqueCount="67">
  <si>
    <t>Country</t>
  </si>
  <si>
    <t>Sales</t>
  </si>
  <si>
    <t>Target</t>
  </si>
  <si>
    <t>Status</t>
  </si>
  <si>
    <t>Kenya</t>
  </si>
  <si>
    <t>Completed</t>
  </si>
  <si>
    <t>Nigeria</t>
  </si>
  <si>
    <t>Pending</t>
  </si>
  <si>
    <t>Uganda</t>
  </si>
  <si>
    <t>Tanzania</t>
  </si>
  <si>
    <t>Cancelled</t>
  </si>
  <si>
    <t>Total_Transactions</t>
  </si>
  <si>
    <t>Total_Transactions_Completed</t>
  </si>
  <si>
    <t>Total_Sales</t>
  </si>
  <si>
    <t>Total_Sales_For_Kenya</t>
  </si>
  <si>
    <t>Total_Sales_For_Kenya_&amp;_Status_Completed</t>
  </si>
  <si>
    <t>Highest_Sales_Value</t>
  </si>
  <si>
    <t>Average_Sales</t>
  </si>
  <si>
    <t>Achievement_%</t>
  </si>
  <si>
    <t>Variance</t>
  </si>
  <si>
    <t>Variance_%</t>
  </si>
  <si>
    <t>Branch</t>
  </si>
  <si>
    <t>Actual Sales</t>
  </si>
  <si>
    <t>A</t>
  </si>
  <si>
    <t>B</t>
  </si>
  <si>
    <t>C</t>
  </si>
  <si>
    <t>D</t>
  </si>
  <si>
    <t>Quarter</t>
  </si>
  <si>
    <t>Product</t>
  </si>
  <si>
    <t>Salesperson</t>
  </si>
  <si>
    <t>Nairobi</t>
  </si>
  <si>
    <t>Q1</t>
  </si>
  <si>
    <t>Product A</t>
  </si>
  <si>
    <t>Rahul</t>
  </si>
  <si>
    <t>Q2</t>
  </si>
  <si>
    <t>Product B</t>
  </si>
  <si>
    <t>Mombasa</t>
  </si>
  <si>
    <t>Priya</t>
  </si>
  <si>
    <t>Product C</t>
  </si>
  <si>
    <t>Lagos</t>
  </si>
  <si>
    <t>Amit</t>
  </si>
  <si>
    <t>Abuja</t>
  </si>
  <si>
    <t>Neha</t>
  </si>
  <si>
    <t>Arusha</t>
  </si>
  <si>
    <t>Dar es Salaam</t>
  </si>
  <si>
    <t>Kampala</t>
  </si>
  <si>
    <t>Entebbe</t>
  </si>
  <si>
    <t>Highest_Sales_Country</t>
  </si>
  <si>
    <t>Highest_Sales</t>
  </si>
  <si>
    <t>Highest_Achivement_Country</t>
  </si>
  <si>
    <t>Highest_Achievement_%</t>
  </si>
  <si>
    <t>Largest_Variance_Country</t>
  </si>
  <si>
    <t>Largest_Positive_Variance</t>
  </si>
  <si>
    <t>Highest_Variance_%_Country</t>
  </si>
  <si>
    <t>Highest_Variance_%</t>
  </si>
  <si>
    <t>Total_Achievement_%</t>
  </si>
  <si>
    <t>Total_Variance</t>
  </si>
  <si>
    <t>Total_Variance_%</t>
  </si>
  <si>
    <t>Total_Target</t>
  </si>
  <si>
    <t>Highest_Sales_Branch</t>
  </si>
  <si>
    <t>Highest_Achievement_Branch</t>
  </si>
  <si>
    <t>Largest_Positive_Variance_Branch</t>
  </si>
  <si>
    <t>Highest_Sales_Salesperson</t>
  </si>
  <si>
    <t>Highest_Achievement_Salesperson</t>
  </si>
  <si>
    <t>Largest_Positive_Variance_Salesperson</t>
  </si>
  <si>
    <t>Highest_Actual_Sales_Quarter</t>
  </si>
  <si>
    <t>Better_Target_Performance_Quarter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</si>
</sst>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0" fillId="0" borderId="0" xfId="0" applyNumberFormat="1"/>
    <xf numFmtId="10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1" fillId="0" borderId="0" xfId="0" applyFont="1"/>
    <xf numFmtId="0" fontId="1" fillId="0" borderId="9" xfId="0" applyFont="1" applyBorder="1"/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14" formatCode="0.00%"/>
    </dxf>
    <dxf>
      <numFmt numFmtId="14" formatCode="0.00%"/>
    </dxf>
    <dxf>
      <border outline="0">
        <bottom style="medium">
          <color theme="8"/>
        </bottom>
      </border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4" formatCode="0.0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numFmt numFmtId="2" formatCode="0.0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14" formatCode="0.00%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G7" totalsRowShown="0">
  <tableColumns count="7">
    <tableColumn id="1" name="Country" dataDxfId="49"/>
    <tableColumn id="2" name="Sales" dataDxfId="48"/>
    <tableColumn id="3" name="Target" dataDxfId="47"/>
    <tableColumn id="4" name="Status" dataDxfId="46"/>
    <tableColumn id="5" name="Achievement_%" dataDxfId="45">
      <calculatedColumnFormula>Table1[[#This Row],[Sales]]/Table1[[#This Row],[Target]]</calculatedColumnFormula>
    </tableColumn>
    <tableColumn id="6" name="Variance" dataDxfId="44">
      <calculatedColumnFormula>Table1[[#This Row],[Sales]]-Table1[[#This Row],[Target]]</calculatedColumnFormula>
    </tableColumn>
    <tableColumn id="7" name="Variance_%" dataDxfId="43">
      <calculatedColumnFormula>Table1[[#This Row],[Variance]]/Table1[[#This Row],[Target]]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5" totalsRowShown="0" headerRowDxfId="42" dataDxfId="41">
  <tableColumns count="6">
    <tableColumn id="1" name="Branch" dataDxfId="40"/>
    <tableColumn id="2" name="Actual Sales" dataDxfId="39"/>
    <tableColumn id="3" name="Target" dataDxfId="38"/>
    <tableColumn id="4" name="Achievement_%" dataDxfId="37">
      <calculatedColumnFormula>Table2[[#This Row],[Actual Sales]]/Table2[[#This Row],[Target]]</calculatedColumnFormula>
    </tableColumn>
    <tableColumn id="5" name="Variance" dataDxfId="36">
      <calculatedColumnFormula>Table2[[#This Row],[Actual Sales]]-Table2[[#This Row],[Target]]</calculatedColumnFormula>
    </tableColumn>
    <tableColumn id="6" name="Variance_%" dataDxfId="35">
      <calculatedColumnFormula>Table2[[#This Row],[Variance]]/Table2[[#This Row],[Target]]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K17" totalsRowShown="0" headerRowDxfId="34" dataDxfId="33">
  <autoFilter ref="A1:K17"/>
  <sortState ref="A2:K17">
    <sortCondition ref="C1:C17"/>
  </sortState>
  <tableColumns count="11">
    <tableColumn id="1" name="Country" dataDxfId="32"/>
    <tableColumn id="2" name="Branch" dataDxfId="31"/>
    <tableColumn id="3" name="Quarter" dataDxfId="30"/>
    <tableColumn id="4" name="Product" dataDxfId="29"/>
    <tableColumn id="5" name="Salesperson" dataDxfId="28"/>
    <tableColumn id="6" name="Actual Sales" dataDxfId="27"/>
    <tableColumn id="7" name="Target" dataDxfId="26"/>
    <tableColumn id="8" name="Status" dataDxfId="25"/>
    <tableColumn id="9" name="Achievement_%" dataDxfId="24">
      <calculatedColumnFormula>Table4[[#This Row],[Actual Sales]]/Table4[[#This Row],[Target]]</calculatedColumnFormula>
    </tableColumn>
    <tableColumn id="10" name="Variance" dataDxfId="23">
      <calculatedColumnFormula>Table4[[#This Row],[Actual Sales]]-Table4[[#This Row],[Target]]</calculatedColumnFormula>
    </tableColumn>
    <tableColumn id="11" name="Variance_%" dataDxfId="22">
      <calculatedColumnFormula>Table4[[#This Row],[Variance]]/Table4[[#This Row],[Target]]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36" displayName="Table36" ref="A1:F5" totalsRowShown="0" headerRowDxfId="21" headerRowBorderDxfId="19" tableBorderDxfId="20" totalsRowBorderDxfId="18">
  <tableColumns count="6">
    <tableColumn id="1" name="Country" dataDxfId="17"/>
    <tableColumn id="2" name="Total_Sales" dataDxfId="16">
      <calculatedColumnFormula>SUMIF(Table4[Country], A2, Table4[Actual Sales])</calculatedColumnFormula>
    </tableColumn>
    <tableColumn id="6" name="Total_Target" dataDxfId="15">
      <calculatedColumnFormula>SUMIF(Table4[Country], Table36[[#This Row],[Country]], Table4[Target])</calculatedColumnFormula>
    </tableColumn>
    <tableColumn id="3" name="Total_Achievement_%" dataDxfId="14">
      <calculatedColumnFormula>Table36[[#This Row],[Total_Sales]]/ Table36[[#This Row],[Total_Target]]</calculatedColumnFormula>
    </tableColumn>
    <tableColumn id="4" name="Total_Variance" dataDxfId="13">
      <calculatedColumnFormula>Table36[[#This Row],[Total_Sales]] - Table36[[#This Row],[Total_Target]]</calculatedColumnFormula>
    </tableColumn>
    <tableColumn id="5" name="Total_Variance_%" dataDxfId="12">
      <calculatedColumnFormula>Table36[[#This Row],[Total_Variance]] / Table36[[#This Row],[Total_Target]]</calculatedColumnFormula>
    </tableColumn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8:F16" totalsRowShown="0" headerRowDxfId="9">
  <tableColumns count="6">
    <tableColumn id="1" name="Branch"/>
    <tableColumn id="2" name="Total_Sales">
      <calculatedColumnFormula>SUMIF(Table4[Branch], Helping_Table!A9, Table4[Actual Sales])</calculatedColumnFormula>
    </tableColumn>
    <tableColumn id="3" name="Total_Target">
      <calculatedColumnFormula>SUMIF(Table4[Branch], Helping_Table!A9, Table4[Target])</calculatedColumnFormula>
    </tableColumn>
    <tableColumn id="4" name="Total_Achievement_%" dataDxfId="11">
      <calculatedColumnFormula>B9/ C9</calculatedColumnFormula>
    </tableColumn>
    <tableColumn id="5" name="Total_Variance">
      <calculatedColumnFormula>B9-C9</calculatedColumnFormula>
    </tableColumn>
    <tableColumn id="6" name="Total_Variance_%" dataDxfId="10">
      <calculatedColumnFormula>E9/C9</calculatedColumnFormula>
    </tableColumn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8:F22" totalsRowShown="0" headerRowDxfId="5">
  <tableColumns count="6">
    <tableColumn id="1" name="Salesperson" dataDxfId="8"/>
    <tableColumn id="2" name="Total_Sales">
      <calculatedColumnFormula>SUMIF(Table4[Salesperson], Helping_Table!A19, Table4[Actual Sales])</calculatedColumnFormula>
    </tableColumn>
    <tableColumn id="3" name="Total_Target">
      <calculatedColumnFormula>SUMIF(Table4[Salesperson], Helping_Table!A19, Table4[Target])</calculatedColumnFormula>
    </tableColumn>
    <tableColumn id="4" name="Total_Achievement_%" dataDxfId="7">
      <calculatedColumnFormula>B19/C19</calculatedColumnFormula>
    </tableColumn>
    <tableColumn id="5" name="Total_Variance">
      <calculatedColumnFormula>B19-C19</calculatedColumnFormula>
    </tableColumn>
    <tableColumn id="6" name="Total_Variance_%" dataDxfId="6">
      <calculatedColumnFormula>E19/C19</calculatedColumnFormula>
    </tableColumn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H1:M3" totalsRowShown="0" headerRowDxfId="0" headerRowBorderDxfId="3" tableBorderDxfId="4">
  <tableColumns count="6">
    <tableColumn id="1" name="Quarter"/>
    <tableColumn id="2" name="Total_Sales">
      <calculatedColumnFormula>SUMIF(Table4[Quarter], Helping_Table!H2, Table4[Actual Sales])</calculatedColumnFormula>
    </tableColumn>
    <tableColumn id="3" name="Total_Target">
      <calculatedColumnFormula>SUMIF(Table4[Quarter], Helping_Table!H2, Table4[Target])</calculatedColumnFormula>
    </tableColumn>
    <tableColumn id="4" name="Total_Achievement_%" dataDxfId="2">
      <calculatedColumnFormula>I2/J2</calculatedColumnFormula>
    </tableColumn>
    <tableColumn id="5" name="Total_Variance">
      <calculatedColumnFormula>I2-J2</calculatedColumnFormula>
    </tableColumn>
    <tableColumn id="6" name="Total_Variance_%" dataDxfId="1">
      <calculatedColumnFormula>L2/J2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G13" sqref="G13"/>
    </sheetView>
  </sheetViews>
  <sheetFormatPr defaultRowHeight="15" x14ac:dyDescent="0.25"/>
  <cols>
    <col min="1" max="1" width="10.140625" customWidth="1"/>
    <col min="2" max="2" width="7.7109375" customWidth="1"/>
    <col min="3" max="3" width="8.7109375" customWidth="1"/>
    <col min="4" max="4" width="10.85546875" bestFit="1" customWidth="1"/>
    <col min="5" max="5" width="15.5703125" bestFit="1" customWidth="1"/>
    <col min="6" max="8" width="15.5703125" customWidth="1"/>
    <col min="9" max="9" width="9.140625" style="7"/>
    <col min="10" max="10" width="10.85546875" style="7" bestFit="1" customWidth="1"/>
    <col min="11" max="11" width="42.140625" style="7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1" t="s">
        <v>3</v>
      </c>
      <c r="E1" t="s">
        <v>18</v>
      </c>
      <c r="F1" t="s">
        <v>19</v>
      </c>
      <c r="G1" t="s">
        <v>20</v>
      </c>
      <c r="K1" s="10" t="s">
        <v>11</v>
      </c>
    </row>
    <row r="2" spans="1:11" x14ac:dyDescent="0.25">
      <c r="A2" s="3" t="s">
        <v>4</v>
      </c>
      <c r="B2" s="4">
        <v>220000</v>
      </c>
      <c r="C2" s="4">
        <v>200000</v>
      </c>
      <c r="D2" s="3" t="s">
        <v>5</v>
      </c>
      <c r="E2" s="5">
        <f>Table1[[#This Row],[Sales]]/Table1[[#This Row],[Target]]</f>
        <v>1.1000000000000001</v>
      </c>
      <c r="F2" s="6">
        <f>Table1[[#This Row],[Sales]]-Table1[[#This Row],[Target]]</f>
        <v>20000</v>
      </c>
      <c r="G2" s="5">
        <f>Table1[[#This Row],[Variance]]/Table1[[#This Row],[Target]]</f>
        <v>0.1</v>
      </c>
      <c r="H2" s="5"/>
      <c r="K2" s="8">
        <f>COUNTA(Table1[Country])</f>
        <v>6</v>
      </c>
    </row>
    <row r="3" spans="1:11" x14ac:dyDescent="0.25">
      <c r="A3" s="3" t="s">
        <v>6</v>
      </c>
      <c r="B3" s="4">
        <v>180000</v>
      </c>
      <c r="C3" s="4">
        <v>250000</v>
      </c>
      <c r="D3" s="3" t="s">
        <v>5</v>
      </c>
      <c r="E3" s="5">
        <f>Table1[[#This Row],[Sales]]/Table1[[#This Row],[Target]]</f>
        <v>0.72</v>
      </c>
      <c r="F3" s="6">
        <f>Table1[[#This Row],[Sales]]-Table1[[#This Row],[Target]]</f>
        <v>-70000</v>
      </c>
      <c r="G3" s="5">
        <f>Table1[[#This Row],[Variance]]/Table1[[#This Row],[Target]]</f>
        <v>-0.28000000000000003</v>
      </c>
      <c r="H3" s="5"/>
    </row>
    <row r="4" spans="1:11" x14ac:dyDescent="0.25">
      <c r="A4" s="3" t="s">
        <v>4</v>
      </c>
      <c r="B4" s="4">
        <v>150000</v>
      </c>
      <c r="C4" s="4">
        <v>180000</v>
      </c>
      <c r="D4" s="3" t="s">
        <v>7</v>
      </c>
      <c r="E4" s="5">
        <f>Table1[[#This Row],[Sales]]/Table1[[#This Row],[Target]]</f>
        <v>0.83333333333333337</v>
      </c>
      <c r="F4" s="6">
        <f>Table1[[#This Row],[Sales]]-Table1[[#This Row],[Target]]</f>
        <v>-30000</v>
      </c>
      <c r="G4" s="5">
        <f>Table1[[#This Row],[Variance]]/Table1[[#This Row],[Target]]</f>
        <v>-0.16666666666666666</v>
      </c>
      <c r="H4" s="5"/>
      <c r="J4" s="10" t="s">
        <v>3</v>
      </c>
      <c r="K4" s="10" t="s">
        <v>12</v>
      </c>
    </row>
    <row r="5" spans="1:11" x14ac:dyDescent="0.25">
      <c r="A5" s="3" t="s">
        <v>8</v>
      </c>
      <c r="B5" s="4">
        <v>100000</v>
      </c>
      <c r="C5" s="4">
        <v>80000</v>
      </c>
      <c r="D5" s="3" t="s">
        <v>5</v>
      </c>
      <c r="E5" s="5">
        <f>Table1[[#This Row],[Sales]]/Table1[[#This Row],[Target]]</f>
        <v>1.25</v>
      </c>
      <c r="F5" s="6">
        <f>Table1[[#This Row],[Sales]]-Table1[[#This Row],[Target]]</f>
        <v>20000</v>
      </c>
      <c r="G5" s="5">
        <f>Table1[[#This Row],[Variance]]/Table1[[#This Row],[Target]]</f>
        <v>0.25</v>
      </c>
      <c r="H5" s="5"/>
      <c r="J5" s="8" t="s">
        <v>5</v>
      </c>
      <c r="K5" s="8">
        <f>COUNTIF(Table1[Status], J5)</f>
        <v>4</v>
      </c>
    </row>
    <row r="6" spans="1:11" x14ac:dyDescent="0.25">
      <c r="A6" s="3" t="s">
        <v>4</v>
      </c>
      <c r="B6" s="4">
        <v>120000</v>
      </c>
      <c r="C6" s="4">
        <v>100000</v>
      </c>
      <c r="D6" s="3" t="s">
        <v>5</v>
      </c>
      <c r="E6" s="5">
        <f>Table1[[#This Row],[Sales]]/Table1[[#This Row],[Target]]</f>
        <v>1.2</v>
      </c>
      <c r="F6" s="6">
        <f>Table1[[#This Row],[Sales]]-Table1[[#This Row],[Target]]</f>
        <v>20000</v>
      </c>
      <c r="G6" s="5">
        <f>Table1[[#This Row],[Variance]]/Table1[[#This Row],[Target]]</f>
        <v>0.2</v>
      </c>
      <c r="H6" s="5"/>
    </row>
    <row r="7" spans="1:11" x14ac:dyDescent="0.25">
      <c r="A7" s="3" t="s">
        <v>9</v>
      </c>
      <c r="B7" s="4">
        <v>150000</v>
      </c>
      <c r="C7" s="4">
        <v>150000</v>
      </c>
      <c r="D7" s="3" t="s">
        <v>10</v>
      </c>
      <c r="E7" s="5">
        <f>Table1[[#This Row],[Sales]]/Table1[[#This Row],[Target]]</f>
        <v>1</v>
      </c>
      <c r="F7" s="6">
        <f>Table1[[#This Row],[Sales]]-Table1[[#This Row],[Target]]</f>
        <v>0</v>
      </c>
      <c r="G7" s="5">
        <f>Table1[[#This Row],[Variance]]/Table1[[#This Row],[Target]]</f>
        <v>0</v>
      </c>
      <c r="H7" s="5"/>
      <c r="K7" s="10" t="s">
        <v>13</v>
      </c>
    </row>
    <row r="8" spans="1:11" x14ac:dyDescent="0.25">
      <c r="K8" s="8">
        <f>SUM(Table1[Sales])</f>
        <v>920000</v>
      </c>
    </row>
    <row r="10" spans="1:11" x14ac:dyDescent="0.25">
      <c r="J10" s="10" t="s">
        <v>0</v>
      </c>
      <c r="K10" s="10" t="s">
        <v>14</v>
      </c>
    </row>
    <row r="11" spans="1:11" x14ac:dyDescent="0.25">
      <c r="J11" s="8" t="s">
        <v>4</v>
      </c>
      <c r="K11" s="8">
        <f>SUMIF(Table1[Country], J11, Table1[Sales])</f>
        <v>490000</v>
      </c>
    </row>
    <row r="13" spans="1:11" x14ac:dyDescent="0.25">
      <c r="I13" s="10" t="s">
        <v>0</v>
      </c>
      <c r="J13" s="10" t="s">
        <v>3</v>
      </c>
      <c r="K13" s="10" t="s">
        <v>15</v>
      </c>
    </row>
    <row r="14" spans="1:11" x14ac:dyDescent="0.25">
      <c r="I14" s="8" t="s">
        <v>4</v>
      </c>
      <c r="J14" s="8" t="s">
        <v>5</v>
      </c>
      <c r="K14" s="8">
        <f>SUMIFS(Table1[Sales], Table1[Country], I14, Table1[Status], J14)</f>
        <v>340000</v>
      </c>
    </row>
    <row r="16" spans="1:11" x14ac:dyDescent="0.25">
      <c r="K16" s="10" t="s">
        <v>16</v>
      </c>
    </row>
    <row r="17" spans="11:11" x14ac:dyDescent="0.25">
      <c r="K17" s="8">
        <f>MAX(Table1[Sales])</f>
        <v>220000</v>
      </c>
    </row>
    <row r="19" spans="11:11" x14ac:dyDescent="0.25">
      <c r="K19" s="10" t="s">
        <v>17</v>
      </c>
    </row>
    <row r="20" spans="11:11" x14ac:dyDescent="0.25">
      <c r="K20" s="9">
        <f>AVERAGE(Table1[Sales])</f>
        <v>153333.33333333334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H12" sqref="H12"/>
    </sheetView>
  </sheetViews>
  <sheetFormatPr defaultRowHeight="15" x14ac:dyDescent="0.25"/>
  <cols>
    <col min="1" max="1" width="9.140625" customWidth="1"/>
    <col min="2" max="2" width="13.7109375" customWidth="1"/>
    <col min="3" max="3" width="8.7109375" customWidth="1"/>
    <col min="4" max="4" width="15.5703125" bestFit="1" customWidth="1"/>
    <col min="6" max="6" width="11.28515625" bestFit="1" customWidth="1"/>
  </cols>
  <sheetData>
    <row r="1" spans="1:6" x14ac:dyDescent="0.25">
      <c r="A1" s="1" t="s">
        <v>21</v>
      </c>
      <c r="B1" s="1" t="s">
        <v>22</v>
      </c>
      <c r="C1" s="1" t="s">
        <v>2</v>
      </c>
      <c r="D1" s="1" t="s">
        <v>18</v>
      </c>
      <c r="E1" s="1" t="s">
        <v>19</v>
      </c>
      <c r="F1" s="1" t="s">
        <v>20</v>
      </c>
    </row>
    <row r="2" spans="1:6" x14ac:dyDescent="0.25">
      <c r="A2" s="7" t="s">
        <v>23</v>
      </c>
      <c r="B2" s="7">
        <v>900</v>
      </c>
      <c r="C2" s="7">
        <v>800</v>
      </c>
      <c r="D2" s="11">
        <f>Table2[[#This Row],[Actual Sales]]/Table2[[#This Row],[Target]]</f>
        <v>1.125</v>
      </c>
      <c r="E2" s="7">
        <f>Table2[[#This Row],[Actual Sales]]-Table2[[#This Row],[Target]]</f>
        <v>100</v>
      </c>
      <c r="F2" s="11">
        <f>Table2[[#This Row],[Variance]]/Table2[[#This Row],[Target]]</f>
        <v>0.125</v>
      </c>
    </row>
    <row r="3" spans="1:6" x14ac:dyDescent="0.25">
      <c r="A3" s="7" t="s">
        <v>24</v>
      </c>
      <c r="B3" s="7">
        <v>600</v>
      </c>
      <c r="C3" s="7">
        <v>500</v>
      </c>
      <c r="D3" s="11">
        <f>Table2[[#This Row],[Actual Sales]]/Table2[[#This Row],[Target]]</f>
        <v>1.2</v>
      </c>
      <c r="E3" s="7">
        <f>Table2[[#This Row],[Actual Sales]]-Table2[[#This Row],[Target]]</f>
        <v>100</v>
      </c>
      <c r="F3" s="11">
        <f>Table2[[#This Row],[Variance]]/Table2[[#This Row],[Target]]</f>
        <v>0.2</v>
      </c>
    </row>
    <row r="4" spans="1:6" x14ac:dyDescent="0.25">
      <c r="A4" s="7" t="s">
        <v>25</v>
      </c>
      <c r="B4" s="7">
        <v>700</v>
      </c>
      <c r="C4" s="7">
        <v>1000</v>
      </c>
      <c r="D4" s="11">
        <f>Table2[[#This Row],[Actual Sales]]/Table2[[#This Row],[Target]]</f>
        <v>0.7</v>
      </c>
      <c r="E4" s="7">
        <f>Table2[[#This Row],[Actual Sales]]-Table2[[#This Row],[Target]]</f>
        <v>-300</v>
      </c>
      <c r="F4" s="11">
        <f>Table2[[#This Row],[Variance]]/Table2[[#This Row],[Target]]</f>
        <v>-0.3</v>
      </c>
    </row>
    <row r="5" spans="1:6" x14ac:dyDescent="0.25">
      <c r="A5" s="7" t="s">
        <v>26</v>
      </c>
      <c r="B5" s="7">
        <v>450</v>
      </c>
      <c r="C5" s="7">
        <v>300</v>
      </c>
      <c r="D5" s="11">
        <f>Table2[[#This Row],[Actual Sales]]/Table2[[#This Row],[Target]]</f>
        <v>1.5</v>
      </c>
      <c r="E5" s="7">
        <f>Table2[[#This Row],[Actual Sales]]-Table2[[#This Row],[Target]]</f>
        <v>150</v>
      </c>
      <c r="F5" s="11">
        <f>Table2[[#This Row],[Variance]]/Table2[[#This Row],[Target]]</f>
        <v>0.5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activeCell="N12" sqref="N12"/>
    </sheetView>
  </sheetViews>
  <sheetFormatPr defaultRowHeight="15" x14ac:dyDescent="0.25"/>
  <cols>
    <col min="1" max="1" width="10.140625" customWidth="1"/>
    <col min="2" max="2" width="13.28515625" bestFit="1" customWidth="1"/>
    <col min="3" max="4" width="10" customWidth="1"/>
    <col min="5" max="5" width="13.85546875" customWidth="1"/>
    <col min="6" max="6" width="13.7109375" customWidth="1"/>
    <col min="7" max="7" width="8.7109375" style="14" customWidth="1"/>
    <col min="8" max="8" width="10.85546875" bestFit="1" customWidth="1"/>
    <col min="9" max="9" width="15.5703125" bestFit="1" customWidth="1"/>
    <col min="11" max="11" width="11.28515625" bestFit="1" customWidth="1"/>
    <col min="14" max="14" width="28" bestFit="1" customWidth="1"/>
    <col min="15" max="15" width="23.5703125" bestFit="1" customWidth="1"/>
    <col min="16" max="16" width="23.5703125" customWidth="1"/>
    <col min="17" max="17" width="21.140625" bestFit="1" customWidth="1"/>
    <col min="18" max="18" width="14.28515625" bestFit="1" customWidth="1"/>
    <col min="19" max="19" width="16.85546875" bestFit="1" customWidth="1"/>
  </cols>
  <sheetData>
    <row r="1" spans="1:16" x14ac:dyDescent="0.25">
      <c r="A1" s="1" t="s">
        <v>0</v>
      </c>
      <c r="B1" s="1" t="s">
        <v>21</v>
      </c>
      <c r="C1" s="1" t="s">
        <v>27</v>
      </c>
      <c r="D1" s="1" t="s">
        <v>28</v>
      </c>
      <c r="E1" s="1" t="s">
        <v>29</v>
      </c>
      <c r="F1" s="2" t="s">
        <v>22</v>
      </c>
      <c r="G1" s="13" t="s">
        <v>2</v>
      </c>
      <c r="H1" s="1" t="s">
        <v>3</v>
      </c>
      <c r="I1" s="1" t="s">
        <v>18</v>
      </c>
      <c r="J1" s="1" t="s">
        <v>19</v>
      </c>
      <c r="K1" s="1" t="s">
        <v>20</v>
      </c>
    </row>
    <row r="2" spans="1:16" x14ac:dyDescent="0.25">
      <c r="A2" s="3" t="s">
        <v>4</v>
      </c>
      <c r="B2" s="3" t="s">
        <v>30</v>
      </c>
      <c r="C2" s="3" t="s">
        <v>31</v>
      </c>
      <c r="D2" s="3" t="s">
        <v>32</v>
      </c>
      <c r="E2" s="3" t="s">
        <v>33</v>
      </c>
      <c r="F2" s="12">
        <v>180</v>
      </c>
      <c r="G2" s="12">
        <v>160</v>
      </c>
      <c r="H2" s="3" t="s">
        <v>5</v>
      </c>
      <c r="I2" s="15">
        <f>Table4[[#This Row],[Actual Sales]]/Table4[[#This Row],[Target]]</f>
        <v>1.125</v>
      </c>
      <c r="J2" s="3">
        <f>Table4[[#This Row],[Actual Sales]]-Table4[[#This Row],[Target]]</f>
        <v>20</v>
      </c>
      <c r="K2" s="15">
        <f>Table4[[#This Row],[Variance]]/Table4[[#This Row],[Target]]</f>
        <v>0.125</v>
      </c>
    </row>
    <row r="3" spans="1:16" x14ac:dyDescent="0.25">
      <c r="A3" s="3" t="s">
        <v>4</v>
      </c>
      <c r="B3" s="3" t="s">
        <v>36</v>
      </c>
      <c r="C3" s="3" t="s">
        <v>31</v>
      </c>
      <c r="D3" s="3" t="s">
        <v>32</v>
      </c>
      <c r="E3" s="3" t="s">
        <v>37</v>
      </c>
      <c r="F3" s="12">
        <v>140</v>
      </c>
      <c r="G3" s="12">
        <v>150</v>
      </c>
      <c r="H3" s="3" t="s">
        <v>5</v>
      </c>
      <c r="I3" s="15">
        <f>Table4[[#This Row],[Actual Sales]]/Table4[[#This Row],[Target]]</f>
        <v>0.93333333333333335</v>
      </c>
      <c r="J3" s="3">
        <f>Table4[[#This Row],[Actual Sales]]-Table4[[#This Row],[Target]]</f>
        <v>-10</v>
      </c>
      <c r="K3" s="15">
        <f>Table4[[#This Row],[Variance]]/Table4[[#This Row],[Target]]</f>
        <v>-6.6666666666666666E-2</v>
      </c>
    </row>
    <row r="4" spans="1:16" x14ac:dyDescent="0.25">
      <c r="A4" s="3" t="s">
        <v>6</v>
      </c>
      <c r="B4" s="3" t="s">
        <v>39</v>
      </c>
      <c r="C4" s="3" t="s">
        <v>31</v>
      </c>
      <c r="D4" s="3" t="s">
        <v>35</v>
      </c>
      <c r="E4" s="3" t="s">
        <v>40</v>
      </c>
      <c r="F4" s="12">
        <v>250</v>
      </c>
      <c r="G4" s="12">
        <v>300</v>
      </c>
      <c r="H4" s="3" t="s">
        <v>5</v>
      </c>
      <c r="I4" s="15">
        <f>Table4[[#This Row],[Actual Sales]]/Table4[[#This Row],[Target]]</f>
        <v>0.83333333333333337</v>
      </c>
      <c r="J4" s="3">
        <f>Table4[[#This Row],[Actual Sales]]-Table4[[#This Row],[Target]]</f>
        <v>-50</v>
      </c>
      <c r="K4" s="15">
        <f>Table4[[#This Row],[Variance]]/Table4[[#This Row],[Target]]</f>
        <v>-0.16666666666666666</v>
      </c>
    </row>
    <row r="5" spans="1:16" x14ac:dyDescent="0.25">
      <c r="A5" s="3" t="s">
        <v>6</v>
      </c>
      <c r="B5" s="3" t="s">
        <v>41</v>
      </c>
      <c r="C5" s="3" t="s">
        <v>31</v>
      </c>
      <c r="D5" s="3" t="s">
        <v>38</v>
      </c>
      <c r="E5" s="3" t="s">
        <v>42</v>
      </c>
      <c r="F5" s="12">
        <v>120</v>
      </c>
      <c r="G5" s="12">
        <v>150</v>
      </c>
      <c r="H5" s="3" t="s">
        <v>7</v>
      </c>
      <c r="I5" s="15">
        <f>Table4[[#This Row],[Actual Sales]]/Table4[[#This Row],[Target]]</f>
        <v>0.8</v>
      </c>
      <c r="J5" s="3">
        <f>Table4[[#This Row],[Actual Sales]]-Table4[[#This Row],[Target]]</f>
        <v>-30</v>
      </c>
      <c r="K5" s="15">
        <f>Table4[[#This Row],[Variance]]/Table4[[#This Row],[Target]]</f>
        <v>-0.2</v>
      </c>
    </row>
    <row r="6" spans="1:16" x14ac:dyDescent="0.25">
      <c r="A6" s="3" t="s">
        <v>9</v>
      </c>
      <c r="B6" s="3" t="s">
        <v>43</v>
      </c>
      <c r="C6" s="3" t="s">
        <v>31</v>
      </c>
      <c r="D6" s="3" t="s">
        <v>32</v>
      </c>
      <c r="E6" s="3" t="s">
        <v>33</v>
      </c>
      <c r="F6" s="12">
        <v>100</v>
      </c>
      <c r="G6" s="12">
        <v>90</v>
      </c>
      <c r="H6" s="3" t="s">
        <v>5</v>
      </c>
      <c r="I6" s="15">
        <f>Table4[[#This Row],[Actual Sales]]/Table4[[#This Row],[Target]]</f>
        <v>1.1111111111111112</v>
      </c>
      <c r="J6" s="3">
        <f>Table4[[#This Row],[Actual Sales]]-Table4[[#This Row],[Target]]</f>
        <v>10</v>
      </c>
      <c r="K6" s="15">
        <f>Table4[[#This Row],[Variance]]/Table4[[#This Row],[Target]]</f>
        <v>0.1111111111111111</v>
      </c>
    </row>
    <row r="7" spans="1:16" x14ac:dyDescent="0.25">
      <c r="A7" s="3" t="s">
        <v>9</v>
      </c>
      <c r="B7" s="3" t="s">
        <v>44</v>
      </c>
      <c r="C7" s="3" t="s">
        <v>31</v>
      </c>
      <c r="D7" s="3" t="s">
        <v>35</v>
      </c>
      <c r="E7" s="3" t="s">
        <v>37</v>
      </c>
      <c r="F7" s="12">
        <v>170</v>
      </c>
      <c r="G7" s="12">
        <v>150</v>
      </c>
      <c r="H7" s="3" t="s">
        <v>5</v>
      </c>
      <c r="I7" s="15">
        <f>Table4[[#This Row],[Actual Sales]]/Table4[[#This Row],[Target]]</f>
        <v>1.1333333333333333</v>
      </c>
      <c r="J7" s="3">
        <f>Table4[[#This Row],[Actual Sales]]-Table4[[#This Row],[Target]]</f>
        <v>20</v>
      </c>
      <c r="K7" s="15">
        <f>Table4[[#This Row],[Variance]]/Table4[[#This Row],[Target]]</f>
        <v>0.13333333333333333</v>
      </c>
    </row>
    <row r="8" spans="1:16" x14ac:dyDescent="0.25">
      <c r="A8" s="3" t="s">
        <v>8</v>
      </c>
      <c r="B8" s="3" t="s">
        <v>45</v>
      </c>
      <c r="C8" s="3" t="s">
        <v>31</v>
      </c>
      <c r="D8" s="3" t="s">
        <v>38</v>
      </c>
      <c r="E8" s="3" t="s">
        <v>40</v>
      </c>
      <c r="F8" s="12">
        <v>90</v>
      </c>
      <c r="G8" s="12">
        <v>100</v>
      </c>
      <c r="H8" s="3" t="s">
        <v>5</v>
      </c>
      <c r="I8" s="15">
        <f>Table4[[#This Row],[Actual Sales]]/Table4[[#This Row],[Target]]</f>
        <v>0.9</v>
      </c>
      <c r="J8" s="3">
        <f>Table4[[#This Row],[Actual Sales]]-Table4[[#This Row],[Target]]</f>
        <v>-10</v>
      </c>
      <c r="K8" s="15">
        <f>Table4[[#This Row],[Variance]]/Table4[[#This Row],[Target]]</f>
        <v>-0.1</v>
      </c>
      <c r="P8" s="25"/>
    </row>
    <row r="9" spans="1:16" x14ac:dyDescent="0.25">
      <c r="A9" s="3" t="s">
        <v>8</v>
      </c>
      <c r="B9" s="3" t="s">
        <v>46</v>
      </c>
      <c r="C9" s="3" t="s">
        <v>31</v>
      </c>
      <c r="D9" s="3" t="s">
        <v>35</v>
      </c>
      <c r="E9" s="3" t="s">
        <v>42</v>
      </c>
      <c r="F9" s="12">
        <v>80</v>
      </c>
      <c r="G9" s="12">
        <v>100</v>
      </c>
      <c r="H9" s="3" t="s">
        <v>5</v>
      </c>
      <c r="I9" s="15">
        <f>Table4[[#This Row],[Actual Sales]]/Table4[[#This Row],[Target]]</f>
        <v>0.8</v>
      </c>
      <c r="J9" s="3">
        <f>Table4[[#This Row],[Actual Sales]]-Table4[[#This Row],[Target]]</f>
        <v>-20</v>
      </c>
      <c r="K9" s="15">
        <f>Table4[[#This Row],[Variance]]/Table4[[#This Row],[Target]]</f>
        <v>-0.2</v>
      </c>
      <c r="P9" s="24"/>
    </row>
    <row r="10" spans="1:16" x14ac:dyDescent="0.25">
      <c r="A10" s="3" t="s">
        <v>4</v>
      </c>
      <c r="B10" s="3" t="s">
        <v>30</v>
      </c>
      <c r="C10" s="3" t="s">
        <v>34</v>
      </c>
      <c r="D10" s="3" t="s">
        <v>35</v>
      </c>
      <c r="E10" s="3" t="s">
        <v>33</v>
      </c>
      <c r="F10" s="12">
        <v>220</v>
      </c>
      <c r="G10" s="12">
        <v>200</v>
      </c>
      <c r="H10" s="3" t="s">
        <v>5</v>
      </c>
      <c r="I10" s="15">
        <f>Table4[[#This Row],[Actual Sales]]/Table4[[#This Row],[Target]]</f>
        <v>1.1000000000000001</v>
      </c>
      <c r="J10" s="3">
        <f>Table4[[#This Row],[Actual Sales]]-Table4[[#This Row],[Target]]</f>
        <v>20</v>
      </c>
      <c r="K10" s="15">
        <f>Table4[[#This Row],[Variance]]/Table4[[#This Row],[Target]]</f>
        <v>0.1</v>
      </c>
    </row>
    <row r="11" spans="1:16" x14ac:dyDescent="0.25">
      <c r="A11" s="3" t="s">
        <v>4</v>
      </c>
      <c r="B11" s="3" t="s">
        <v>36</v>
      </c>
      <c r="C11" s="3" t="s">
        <v>34</v>
      </c>
      <c r="D11" s="3" t="s">
        <v>38</v>
      </c>
      <c r="E11" s="3" t="s">
        <v>37</v>
      </c>
      <c r="F11" s="12">
        <v>180</v>
      </c>
      <c r="G11" s="12">
        <v>160</v>
      </c>
      <c r="H11" s="3" t="s">
        <v>5</v>
      </c>
      <c r="I11" s="15">
        <f>Table4[[#This Row],[Actual Sales]]/Table4[[#This Row],[Target]]</f>
        <v>1.125</v>
      </c>
      <c r="J11" s="3">
        <f>Table4[[#This Row],[Actual Sales]]-Table4[[#This Row],[Target]]</f>
        <v>20</v>
      </c>
      <c r="K11" s="15">
        <f>Table4[[#This Row],[Variance]]/Table4[[#This Row],[Target]]</f>
        <v>0.125</v>
      </c>
      <c r="P11" s="25"/>
    </row>
    <row r="12" spans="1:16" x14ac:dyDescent="0.25">
      <c r="A12" s="3" t="s">
        <v>6</v>
      </c>
      <c r="B12" s="3" t="s">
        <v>39</v>
      </c>
      <c r="C12" s="3" t="s">
        <v>34</v>
      </c>
      <c r="D12" s="3" t="s">
        <v>32</v>
      </c>
      <c r="E12" s="3" t="s">
        <v>40</v>
      </c>
      <c r="F12" s="12">
        <v>280</v>
      </c>
      <c r="G12" s="12">
        <v>250</v>
      </c>
      <c r="H12" s="3" t="s">
        <v>5</v>
      </c>
      <c r="I12" s="15">
        <f>Table4[[#This Row],[Actual Sales]]/Table4[[#This Row],[Target]]</f>
        <v>1.1200000000000001</v>
      </c>
      <c r="J12" s="3">
        <f>Table4[[#This Row],[Actual Sales]]-Table4[[#This Row],[Target]]</f>
        <v>30</v>
      </c>
      <c r="K12" s="15">
        <f>Table4[[#This Row],[Variance]]/Table4[[#This Row],[Target]]</f>
        <v>0.12</v>
      </c>
      <c r="P12" s="26"/>
    </row>
    <row r="13" spans="1:16" x14ac:dyDescent="0.25">
      <c r="A13" s="3" t="s">
        <v>6</v>
      </c>
      <c r="B13" s="3" t="s">
        <v>41</v>
      </c>
      <c r="C13" s="3" t="s">
        <v>34</v>
      </c>
      <c r="D13" s="3" t="s">
        <v>35</v>
      </c>
      <c r="E13" s="3" t="s">
        <v>42</v>
      </c>
      <c r="F13" s="12">
        <v>160</v>
      </c>
      <c r="G13" s="12">
        <v>150</v>
      </c>
      <c r="H13" s="3" t="s">
        <v>5</v>
      </c>
      <c r="I13" s="15">
        <f>Table4[[#This Row],[Actual Sales]]/Table4[[#This Row],[Target]]</f>
        <v>1.0666666666666667</v>
      </c>
      <c r="J13" s="3">
        <f>Table4[[#This Row],[Actual Sales]]-Table4[[#This Row],[Target]]</f>
        <v>10</v>
      </c>
      <c r="K13" s="15">
        <f>Table4[[#This Row],[Variance]]/Table4[[#This Row],[Target]]</f>
        <v>6.6666666666666666E-2</v>
      </c>
    </row>
    <row r="14" spans="1:16" x14ac:dyDescent="0.25">
      <c r="A14" s="3" t="s">
        <v>9</v>
      </c>
      <c r="B14" s="3" t="s">
        <v>43</v>
      </c>
      <c r="C14" s="3" t="s">
        <v>34</v>
      </c>
      <c r="D14" s="3" t="s">
        <v>38</v>
      </c>
      <c r="E14" s="3" t="s">
        <v>33</v>
      </c>
      <c r="F14" s="12">
        <v>130</v>
      </c>
      <c r="G14" s="12">
        <v>120</v>
      </c>
      <c r="H14" s="3" t="s">
        <v>5</v>
      </c>
      <c r="I14" s="15">
        <f>Table4[[#This Row],[Actual Sales]]/Table4[[#This Row],[Target]]</f>
        <v>1.0833333333333333</v>
      </c>
      <c r="J14" s="3">
        <f>Table4[[#This Row],[Actual Sales]]-Table4[[#This Row],[Target]]</f>
        <v>10</v>
      </c>
      <c r="K14" s="15">
        <f>Table4[[#This Row],[Variance]]/Table4[[#This Row],[Target]]</f>
        <v>8.3333333333333329E-2</v>
      </c>
      <c r="P14" s="25"/>
    </row>
    <row r="15" spans="1:16" x14ac:dyDescent="0.25">
      <c r="A15" s="3" t="s">
        <v>9</v>
      </c>
      <c r="B15" s="3" t="s">
        <v>44</v>
      </c>
      <c r="C15" s="3" t="s">
        <v>34</v>
      </c>
      <c r="D15" s="3" t="s">
        <v>32</v>
      </c>
      <c r="E15" s="3" t="s">
        <v>37</v>
      </c>
      <c r="F15" s="12">
        <v>190</v>
      </c>
      <c r="G15" s="12">
        <v>180</v>
      </c>
      <c r="H15" s="3" t="s">
        <v>5</v>
      </c>
      <c r="I15" s="15">
        <f>Table4[[#This Row],[Actual Sales]]/Table4[[#This Row],[Target]]</f>
        <v>1.0555555555555556</v>
      </c>
      <c r="J15" s="3">
        <f>Table4[[#This Row],[Actual Sales]]-Table4[[#This Row],[Target]]</f>
        <v>10</v>
      </c>
      <c r="K15" s="15">
        <f>Table4[[#This Row],[Variance]]/Table4[[#This Row],[Target]]</f>
        <v>5.5555555555555552E-2</v>
      </c>
      <c r="P15" s="24"/>
    </row>
    <row r="16" spans="1:16" x14ac:dyDescent="0.25">
      <c r="A16" s="3" t="s">
        <v>8</v>
      </c>
      <c r="B16" s="3" t="s">
        <v>45</v>
      </c>
      <c r="C16" s="3" t="s">
        <v>34</v>
      </c>
      <c r="D16" s="3" t="s">
        <v>32</v>
      </c>
      <c r="E16" s="3" t="s">
        <v>40</v>
      </c>
      <c r="F16" s="12">
        <v>110</v>
      </c>
      <c r="G16" s="12">
        <v>100</v>
      </c>
      <c r="H16" s="3" t="s">
        <v>5</v>
      </c>
      <c r="I16" s="15">
        <f>Table4[[#This Row],[Actual Sales]]/Table4[[#This Row],[Target]]</f>
        <v>1.1000000000000001</v>
      </c>
      <c r="J16" s="3">
        <f>Table4[[#This Row],[Actual Sales]]-Table4[[#This Row],[Target]]</f>
        <v>10</v>
      </c>
      <c r="K16" s="15">
        <f>Table4[[#This Row],[Variance]]/Table4[[#This Row],[Target]]</f>
        <v>0.1</v>
      </c>
    </row>
    <row r="17" spans="1:16" x14ac:dyDescent="0.25">
      <c r="A17" s="3" t="s">
        <v>8</v>
      </c>
      <c r="B17" s="3" t="s">
        <v>46</v>
      </c>
      <c r="C17" s="3" t="s">
        <v>34</v>
      </c>
      <c r="D17" s="3" t="s">
        <v>38</v>
      </c>
      <c r="E17" s="3" t="s">
        <v>42</v>
      </c>
      <c r="F17" s="12">
        <v>120</v>
      </c>
      <c r="G17" s="12">
        <v>100</v>
      </c>
      <c r="H17" s="3" t="s">
        <v>5</v>
      </c>
      <c r="I17" s="15">
        <f>Table4[[#This Row],[Actual Sales]]/Table4[[#This Row],[Target]]</f>
        <v>1.2</v>
      </c>
      <c r="J17" s="3">
        <f>Table4[[#This Row],[Actual Sales]]-Table4[[#This Row],[Target]]</f>
        <v>20</v>
      </c>
      <c r="K17" s="15">
        <f>Table4[[#This Row],[Variance]]/Table4[[#This Row],[Target]]</f>
        <v>0.2</v>
      </c>
      <c r="P17" s="25"/>
    </row>
    <row r="18" spans="1:16" x14ac:dyDescent="0.25">
      <c r="P18" s="2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90" zoomScaleNormal="90" workbookViewId="0">
      <selection activeCell="L13" sqref="L13"/>
    </sheetView>
  </sheetViews>
  <sheetFormatPr defaultRowHeight="15" x14ac:dyDescent="0.25"/>
  <cols>
    <col min="1" max="1" width="13.85546875" customWidth="1"/>
    <col min="2" max="2" width="13.140625" customWidth="1"/>
    <col min="3" max="3" width="14.140625" customWidth="1"/>
    <col min="4" max="4" width="23" customWidth="1"/>
    <col min="5" max="5" width="16.28515625" customWidth="1"/>
    <col min="6" max="6" width="18.85546875" customWidth="1"/>
    <col min="8" max="8" width="10" customWidth="1"/>
    <col min="9" max="9" width="13.140625" customWidth="1"/>
    <col min="10" max="10" width="14.140625" customWidth="1"/>
    <col min="11" max="11" width="23" customWidth="1"/>
    <col min="12" max="12" width="16.28515625" customWidth="1"/>
    <col min="13" max="13" width="18.85546875" customWidth="1"/>
  </cols>
  <sheetData>
    <row r="1" spans="1:13" ht="15.75" thickBot="1" x14ac:dyDescent="0.3">
      <c r="A1" s="19" t="s">
        <v>0</v>
      </c>
      <c r="B1" s="20" t="s">
        <v>13</v>
      </c>
      <c r="C1" s="20" t="s">
        <v>58</v>
      </c>
      <c r="D1" s="23" t="s">
        <v>55</v>
      </c>
      <c r="E1" s="23" t="s">
        <v>56</v>
      </c>
      <c r="F1" s="23" t="s">
        <v>57</v>
      </c>
      <c r="H1" s="28" t="s">
        <v>27</v>
      </c>
      <c r="I1" s="28" t="s">
        <v>13</v>
      </c>
      <c r="J1" s="28" t="s">
        <v>58</v>
      </c>
      <c r="K1" s="28" t="s">
        <v>55</v>
      </c>
      <c r="L1" s="28" t="s">
        <v>56</v>
      </c>
      <c r="M1" s="28" t="s">
        <v>57</v>
      </c>
    </row>
    <row r="2" spans="1:13" x14ac:dyDescent="0.25">
      <c r="A2" s="17" t="s">
        <v>4</v>
      </c>
      <c r="B2" s="18">
        <f>SUMIF(Table4[Country], A2, Table4[Actual Sales])</f>
        <v>720</v>
      </c>
      <c r="C2" s="24">
        <f>SUMIF(Table4[Country], Table36[[#This Row],[Country]], Table4[Target])</f>
        <v>670</v>
      </c>
      <c r="D2" s="5">
        <f>Table36[[#This Row],[Total_Sales]]/ Table36[[#This Row],[Total_Target]]</f>
        <v>1.0746268656716418</v>
      </c>
      <c r="E2">
        <f>Table36[[#This Row],[Total_Sales]] - Table36[[#This Row],[Total_Target]]</f>
        <v>50</v>
      </c>
      <c r="F2" s="5">
        <f>Table36[[#This Row],[Total_Variance]] / Table36[[#This Row],[Total_Target]]</f>
        <v>7.4626865671641784E-2</v>
      </c>
      <c r="H2" t="s">
        <v>31</v>
      </c>
      <c r="I2">
        <f>SUMIF(Table4[Quarter], Helping_Table!H2, Table4[Actual Sales])</f>
        <v>1130</v>
      </c>
      <c r="J2">
        <f>SUMIF(Table4[Quarter], Helping_Table!H2, Table4[Target])</f>
        <v>1200</v>
      </c>
      <c r="K2" s="5">
        <f>I2/J2</f>
        <v>0.94166666666666665</v>
      </c>
      <c r="L2">
        <f>I2-J2</f>
        <v>-70</v>
      </c>
      <c r="M2" s="5">
        <f>L2/J2</f>
        <v>-5.8333333333333334E-2</v>
      </c>
    </row>
    <row r="3" spans="1:13" x14ac:dyDescent="0.25">
      <c r="A3" s="17" t="s">
        <v>6</v>
      </c>
      <c r="B3" s="18">
        <f>SUMIF(Table4[Country], A3, Table4[Actual Sales])</f>
        <v>810</v>
      </c>
      <c r="C3" s="24">
        <f>SUMIF(Table4[Country], Table36[[#This Row],[Country]], Table4[Target])</f>
        <v>850</v>
      </c>
      <c r="D3" s="5">
        <f>Table36[[#This Row],[Total_Sales]]/ Table36[[#This Row],[Total_Target]]</f>
        <v>0.95294117647058818</v>
      </c>
      <c r="E3">
        <f>Table36[[#This Row],[Total_Sales]] - Table36[[#This Row],[Total_Target]]</f>
        <v>-40</v>
      </c>
      <c r="F3" s="5">
        <f>Table36[[#This Row],[Total_Variance]] / Table36[[#This Row],[Total_Target]]</f>
        <v>-4.7058823529411764E-2</v>
      </c>
      <c r="H3" t="s">
        <v>34</v>
      </c>
      <c r="I3">
        <f>SUMIF(Table4[Quarter], Helping_Table!H3, Table4[Actual Sales])</f>
        <v>1390</v>
      </c>
      <c r="J3">
        <f>SUMIF(Table4[Quarter], Helping_Table!H3, Table4[Target])</f>
        <v>1260</v>
      </c>
      <c r="K3" s="5">
        <f>I3/J3</f>
        <v>1.1031746031746033</v>
      </c>
      <c r="L3">
        <f>I3-J3</f>
        <v>130</v>
      </c>
      <c r="M3" s="5">
        <f>L3/J3</f>
        <v>0.10317460317460317</v>
      </c>
    </row>
    <row r="4" spans="1:13" x14ac:dyDescent="0.25">
      <c r="A4" s="17" t="s">
        <v>9</v>
      </c>
      <c r="B4" s="18">
        <f>SUMIF(Table4[Country], A4, Table4[Actual Sales])</f>
        <v>590</v>
      </c>
      <c r="C4" s="24">
        <f>SUMIF(Table4[Country], Table36[[#This Row],[Country]], Table4[Target])</f>
        <v>540</v>
      </c>
      <c r="D4" s="5">
        <f>Table36[[#This Row],[Total_Sales]]/ Table36[[#This Row],[Total_Target]]</f>
        <v>1.0925925925925926</v>
      </c>
      <c r="E4">
        <f>Table36[[#This Row],[Total_Sales]] - Table36[[#This Row],[Total_Target]]</f>
        <v>50</v>
      </c>
      <c r="F4" s="5">
        <f>Table36[[#This Row],[Total_Variance]] / Table36[[#This Row],[Total_Target]]</f>
        <v>9.2592592592592587E-2</v>
      </c>
    </row>
    <row r="5" spans="1:13" x14ac:dyDescent="0.25">
      <c r="A5" s="21" t="s">
        <v>8</v>
      </c>
      <c r="B5" s="22">
        <f>SUMIF(Table4[Country], A5, Table4[Actual Sales])</f>
        <v>400</v>
      </c>
      <c r="C5" s="24">
        <f>SUMIF(Table4[Country], Table36[[#This Row],[Country]], Table4[Target])</f>
        <v>400</v>
      </c>
      <c r="D5" s="5">
        <f>Table36[[#This Row],[Total_Sales]]/ Table36[[#This Row],[Total_Target]]</f>
        <v>1</v>
      </c>
      <c r="E5">
        <f>Table36[[#This Row],[Total_Sales]] - Table36[[#This Row],[Total_Target]]</f>
        <v>0</v>
      </c>
      <c r="F5" s="5">
        <f>Table36[[#This Row],[Total_Variance]] / Table36[[#This Row],[Total_Target]]</f>
        <v>0</v>
      </c>
    </row>
    <row r="8" spans="1:13" x14ac:dyDescent="0.25">
      <c r="A8" s="27" t="s">
        <v>21</v>
      </c>
      <c r="B8" s="27" t="s">
        <v>13</v>
      </c>
      <c r="C8" s="27" t="s">
        <v>58</v>
      </c>
      <c r="D8" s="27" t="s">
        <v>55</v>
      </c>
      <c r="E8" s="27" t="s">
        <v>56</v>
      </c>
      <c r="F8" s="27" t="s">
        <v>57</v>
      </c>
    </row>
    <row r="9" spans="1:13" x14ac:dyDescent="0.25">
      <c r="A9" t="s">
        <v>30</v>
      </c>
      <c r="B9">
        <f>SUMIF(Table4[Branch], Helping_Table!A9, Table4[Actual Sales])</f>
        <v>400</v>
      </c>
      <c r="C9">
        <f>SUMIF(Table4[Branch], Helping_Table!A9, Table4[Target])</f>
        <v>360</v>
      </c>
      <c r="D9" s="5">
        <f>B9/ C9</f>
        <v>1.1111111111111112</v>
      </c>
      <c r="E9">
        <f>B9-C9</f>
        <v>40</v>
      </c>
      <c r="F9" s="5">
        <f>E9/C9</f>
        <v>0.1111111111111111</v>
      </c>
    </row>
    <row r="10" spans="1:13" x14ac:dyDescent="0.25">
      <c r="A10" t="s">
        <v>36</v>
      </c>
      <c r="B10">
        <f>SUMIF(Table4[Branch], Helping_Table!A10, Table4[Actual Sales])</f>
        <v>320</v>
      </c>
      <c r="C10">
        <f>SUMIF(Table4[Branch], Helping_Table!A10, Table4[Target])</f>
        <v>310</v>
      </c>
      <c r="D10" s="5">
        <f t="shared" ref="D10:D16" si="0">B10/ C10</f>
        <v>1.032258064516129</v>
      </c>
      <c r="E10">
        <f t="shared" ref="E10:E16" si="1">B10-C10</f>
        <v>10</v>
      </c>
      <c r="F10" s="5">
        <f t="shared" ref="F10:F16" si="2">E10/C10</f>
        <v>3.2258064516129031E-2</v>
      </c>
    </row>
    <row r="11" spans="1:13" x14ac:dyDescent="0.25">
      <c r="A11" t="s">
        <v>39</v>
      </c>
      <c r="B11">
        <f>SUMIF(Table4[Branch], Helping_Table!A11, Table4[Actual Sales])</f>
        <v>530</v>
      </c>
      <c r="C11">
        <f>SUMIF(Table4[Branch], Helping_Table!A11, Table4[Target])</f>
        <v>550</v>
      </c>
      <c r="D11" s="5">
        <f t="shared" si="0"/>
        <v>0.96363636363636362</v>
      </c>
      <c r="E11">
        <f t="shared" si="1"/>
        <v>-20</v>
      </c>
      <c r="F11" s="5">
        <f t="shared" si="2"/>
        <v>-3.6363636363636362E-2</v>
      </c>
    </row>
    <row r="12" spans="1:13" x14ac:dyDescent="0.25">
      <c r="A12" t="s">
        <v>41</v>
      </c>
      <c r="B12">
        <f>SUMIF(Table4[Branch], Helping_Table!A12, Table4[Actual Sales])</f>
        <v>280</v>
      </c>
      <c r="C12">
        <f>SUMIF(Table4[Branch], Helping_Table!A12, Table4[Target])</f>
        <v>300</v>
      </c>
      <c r="D12" s="5">
        <f t="shared" si="0"/>
        <v>0.93333333333333335</v>
      </c>
      <c r="E12">
        <f t="shared" si="1"/>
        <v>-20</v>
      </c>
      <c r="F12" s="5">
        <f t="shared" si="2"/>
        <v>-6.6666666666666666E-2</v>
      </c>
    </row>
    <row r="13" spans="1:13" x14ac:dyDescent="0.25">
      <c r="A13" t="s">
        <v>43</v>
      </c>
      <c r="B13">
        <f>SUMIF(Table4[Branch], Helping_Table!A13, Table4[Actual Sales])</f>
        <v>230</v>
      </c>
      <c r="C13">
        <f>SUMIF(Table4[Branch], Helping_Table!A13, Table4[Target])</f>
        <v>210</v>
      </c>
      <c r="D13" s="5">
        <f t="shared" si="0"/>
        <v>1.0952380952380953</v>
      </c>
      <c r="E13">
        <f t="shared" si="1"/>
        <v>20</v>
      </c>
      <c r="F13" s="5">
        <f t="shared" si="2"/>
        <v>9.5238095238095233E-2</v>
      </c>
    </row>
    <row r="14" spans="1:13" x14ac:dyDescent="0.25">
      <c r="A14" t="s">
        <v>44</v>
      </c>
      <c r="B14">
        <f>SUMIF(Table4[Branch], Helping_Table!A14, Table4[Actual Sales])</f>
        <v>360</v>
      </c>
      <c r="C14">
        <f>SUMIF(Table4[Branch], Helping_Table!A14, Table4[Target])</f>
        <v>330</v>
      </c>
      <c r="D14" s="5">
        <f t="shared" si="0"/>
        <v>1.0909090909090908</v>
      </c>
      <c r="E14">
        <f t="shared" si="1"/>
        <v>30</v>
      </c>
      <c r="F14" s="5">
        <f t="shared" si="2"/>
        <v>9.0909090909090912E-2</v>
      </c>
    </row>
    <row r="15" spans="1:13" x14ac:dyDescent="0.25">
      <c r="A15" t="s">
        <v>45</v>
      </c>
      <c r="B15">
        <f>SUMIF(Table4[Branch], Helping_Table!A15, Table4[Actual Sales])</f>
        <v>200</v>
      </c>
      <c r="C15">
        <f>SUMIF(Table4[Branch], Helping_Table!A15, Table4[Target])</f>
        <v>200</v>
      </c>
      <c r="D15" s="5">
        <f t="shared" si="0"/>
        <v>1</v>
      </c>
      <c r="E15">
        <f t="shared" si="1"/>
        <v>0</v>
      </c>
      <c r="F15" s="5">
        <f t="shared" si="2"/>
        <v>0</v>
      </c>
    </row>
    <row r="16" spans="1:13" x14ac:dyDescent="0.25">
      <c r="A16" t="s">
        <v>46</v>
      </c>
      <c r="B16">
        <f>SUMIF(Table4[Branch], Helping_Table!A16, Table4[Actual Sales])</f>
        <v>200</v>
      </c>
      <c r="C16">
        <f>SUMIF(Table4[Branch], Helping_Table!A16, Table4[Target])</f>
        <v>200</v>
      </c>
      <c r="D16" s="5">
        <f t="shared" si="0"/>
        <v>1</v>
      </c>
      <c r="E16">
        <f t="shared" si="1"/>
        <v>0</v>
      </c>
      <c r="F16" s="5">
        <f t="shared" si="2"/>
        <v>0</v>
      </c>
    </row>
    <row r="18" spans="1:6" x14ac:dyDescent="0.25">
      <c r="A18" s="27" t="s">
        <v>29</v>
      </c>
      <c r="B18" s="27" t="s">
        <v>13</v>
      </c>
      <c r="C18" s="27" t="s">
        <v>58</v>
      </c>
      <c r="D18" s="27" t="s">
        <v>55</v>
      </c>
      <c r="E18" s="27" t="s">
        <v>56</v>
      </c>
      <c r="F18" s="27" t="s">
        <v>57</v>
      </c>
    </row>
    <row r="19" spans="1:6" x14ac:dyDescent="0.25">
      <c r="A19" t="s">
        <v>33</v>
      </c>
      <c r="B19">
        <f>SUMIF(Table4[Salesperson], Helping_Table!A19, Table4[Actual Sales])</f>
        <v>630</v>
      </c>
      <c r="C19">
        <f>SUMIF(Table4[Salesperson], Helping_Table!A19, Table4[Target])</f>
        <v>570</v>
      </c>
      <c r="D19" s="5">
        <f>B19/C19</f>
        <v>1.1052631578947369</v>
      </c>
      <c r="E19">
        <f>B19-C19</f>
        <v>60</v>
      </c>
      <c r="F19" s="5">
        <f>E19/C19</f>
        <v>0.10526315789473684</v>
      </c>
    </row>
    <row r="20" spans="1:6" x14ac:dyDescent="0.25">
      <c r="A20" t="s">
        <v>37</v>
      </c>
      <c r="B20">
        <f>SUMIF(Table4[Salesperson], Helping_Table!A20, Table4[Actual Sales])</f>
        <v>680</v>
      </c>
      <c r="C20">
        <f>SUMIF(Table4[Salesperson], Helping_Table!A20, Table4[Target])</f>
        <v>640</v>
      </c>
      <c r="D20" s="5">
        <f t="shared" ref="D20:D22" si="3">B20/C20</f>
        <v>1.0625</v>
      </c>
      <c r="E20">
        <f t="shared" ref="E20:E22" si="4">B20-C20</f>
        <v>40</v>
      </c>
      <c r="F20" s="5">
        <f t="shared" ref="F20:F22" si="5">E20/C20</f>
        <v>6.25E-2</v>
      </c>
    </row>
    <row r="21" spans="1:6" x14ac:dyDescent="0.25">
      <c r="A21" t="s">
        <v>40</v>
      </c>
      <c r="B21">
        <f>SUMIF(Table4[Salesperson], Helping_Table!A21, Table4[Actual Sales])</f>
        <v>730</v>
      </c>
      <c r="C21">
        <f>SUMIF(Table4[Salesperson], Helping_Table!A21, Table4[Target])</f>
        <v>750</v>
      </c>
      <c r="D21" s="5">
        <f t="shared" si="3"/>
        <v>0.97333333333333338</v>
      </c>
      <c r="E21">
        <f t="shared" si="4"/>
        <v>-20</v>
      </c>
      <c r="F21" s="5">
        <f t="shared" si="5"/>
        <v>-2.6666666666666668E-2</v>
      </c>
    </row>
    <row r="22" spans="1:6" x14ac:dyDescent="0.25">
      <c r="A22" t="s">
        <v>42</v>
      </c>
      <c r="B22">
        <f>SUMIF(Table4[Salesperson], Helping_Table!A22, Table4[Actual Sales])</f>
        <v>480</v>
      </c>
      <c r="C22">
        <f>SUMIF(Table4[Salesperson], Helping_Table!A22, Table4[Target])</f>
        <v>500</v>
      </c>
      <c r="D22" s="5">
        <f t="shared" si="3"/>
        <v>0.96</v>
      </c>
      <c r="E22">
        <f t="shared" si="4"/>
        <v>-20</v>
      </c>
      <c r="F22" s="5">
        <f t="shared" si="5"/>
        <v>-0.04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5" sqref="G5"/>
    </sheetView>
  </sheetViews>
  <sheetFormatPr defaultRowHeight="15" x14ac:dyDescent="0.25"/>
  <cols>
    <col min="1" max="1" width="34.28515625" bestFit="1" customWidth="1"/>
    <col min="2" max="2" width="24.5703125" bestFit="1" customWidth="1"/>
    <col min="4" max="4" width="36.7109375" bestFit="1" customWidth="1"/>
    <col min="5" max="5" width="24.5703125" bestFit="1" customWidth="1"/>
    <col min="7" max="7" width="36.7109375" bestFit="1" customWidth="1"/>
    <col min="8" max="8" width="24.5703125" bestFit="1" customWidth="1"/>
  </cols>
  <sheetData>
    <row r="1" spans="1:5" ht="15.75" thickBot="1" x14ac:dyDescent="0.3">
      <c r="D1" s="16"/>
      <c r="E1" s="16"/>
    </row>
    <row r="2" spans="1:5" x14ac:dyDescent="0.25">
      <c r="A2" s="44" t="s">
        <v>47</v>
      </c>
      <c r="B2" s="45" t="s">
        <v>48</v>
      </c>
      <c r="D2" s="40" t="s">
        <v>59</v>
      </c>
      <c r="E2" s="41" t="s">
        <v>48</v>
      </c>
    </row>
    <row r="3" spans="1:5" x14ac:dyDescent="0.25">
      <c r="A3" s="31" t="str">
        <f>INDEX(Table36[Country], MATCH(KPI_Calculations!B3, Table36[Total_Sales], 0))</f>
        <v>Nigeria</v>
      </c>
      <c r="B3" s="32">
        <f>MAX(Table36[Total_Sales])</f>
        <v>810</v>
      </c>
      <c r="D3" s="31" t="str">
        <f>INDEX(Table6[Branch], MATCH(KPI_Calculations!E3, Table6[Total_Sales], 0))</f>
        <v>Lagos</v>
      </c>
      <c r="E3" s="32">
        <f>MAX(Table6[Total_Sales])</f>
        <v>530</v>
      </c>
    </row>
    <row r="4" spans="1:5" x14ac:dyDescent="0.25">
      <c r="A4" s="46"/>
      <c r="B4" s="47"/>
      <c r="D4" s="33"/>
      <c r="E4" s="34"/>
    </row>
    <row r="5" spans="1:5" x14ac:dyDescent="0.25">
      <c r="A5" s="48" t="s">
        <v>49</v>
      </c>
      <c r="B5" s="49" t="s">
        <v>50</v>
      </c>
      <c r="D5" s="42" t="s">
        <v>60</v>
      </c>
      <c r="E5" s="43" t="s">
        <v>50</v>
      </c>
    </row>
    <row r="6" spans="1:5" x14ac:dyDescent="0.25">
      <c r="A6" s="31" t="str">
        <f>INDEX(Table36[Country], MATCH(B6, Table36[Total_Achievement_%], 0))</f>
        <v>Tanzania</v>
      </c>
      <c r="B6" s="37">
        <f>MAX(Table36[Total_Achievement_%])</f>
        <v>1.0925925925925926</v>
      </c>
      <c r="D6" s="31" t="str">
        <f>INDEX(Table6[Branch], MATCH(KPI_Calculations!E6, Table6[Total_Achievement_%], 0))</f>
        <v>Nairobi</v>
      </c>
      <c r="E6" s="37">
        <f>MAX(Table6[Total_Achievement_%])</f>
        <v>1.1111111111111112</v>
      </c>
    </row>
    <row r="7" spans="1:5" x14ac:dyDescent="0.25">
      <c r="A7" s="46"/>
      <c r="B7" s="47"/>
      <c r="D7" s="33"/>
      <c r="E7" s="34"/>
    </row>
    <row r="8" spans="1:5" x14ac:dyDescent="0.25">
      <c r="A8" s="48" t="s">
        <v>51</v>
      </c>
      <c r="B8" s="49" t="s">
        <v>52</v>
      </c>
      <c r="D8" s="42" t="s">
        <v>61</v>
      </c>
      <c r="E8" s="43" t="s">
        <v>52</v>
      </c>
    </row>
    <row r="9" spans="1:5" ht="15.75" thickBot="1" x14ac:dyDescent="0.3">
      <c r="A9" s="31" t="str">
        <f>INDEX(Table36[Country], MATCH(KPI_Calculations!B9, Table36[Total_Variance], 0))</f>
        <v>Kenya</v>
      </c>
      <c r="B9" s="32">
        <f>MAX(Table36[Total_Variance])</f>
        <v>50</v>
      </c>
      <c r="D9" s="38" t="str">
        <f>INDEX(Table6[Branch], MATCH(KPI_Calculations!E9, Table6[Total_Variance], 0))</f>
        <v>Nairobi</v>
      </c>
      <c r="E9" s="39">
        <f>MAX(Table6[Total_Variance])</f>
        <v>40</v>
      </c>
    </row>
    <row r="10" spans="1:5" x14ac:dyDescent="0.25">
      <c r="A10" s="46"/>
      <c r="B10" s="47"/>
      <c r="D10" s="16"/>
      <c r="E10" s="16"/>
    </row>
    <row r="11" spans="1:5" x14ac:dyDescent="0.25">
      <c r="A11" s="48" t="s">
        <v>53</v>
      </c>
      <c r="B11" s="49" t="s">
        <v>54</v>
      </c>
    </row>
    <row r="12" spans="1:5" ht="15.75" thickBot="1" x14ac:dyDescent="0.3">
      <c r="A12" s="38" t="str">
        <f>INDEX(Table36[Country], MATCH(KPI_Calculations!B12, Table36[Total_Variance_%], 0))</f>
        <v>Tanzania</v>
      </c>
      <c r="B12" s="50">
        <f>MAX(Table36[Total_Variance_%])</f>
        <v>9.2592592592592587E-2</v>
      </c>
    </row>
    <row r="13" spans="1:5" x14ac:dyDescent="0.25">
      <c r="D13" s="29" t="s">
        <v>62</v>
      </c>
      <c r="E13" s="30" t="s">
        <v>48</v>
      </c>
    </row>
    <row r="14" spans="1:5" x14ac:dyDescent="0.25">
      <c r="D14" s="31" t="str">
        <f>INDEX(Table7[Salesperson], MATCH(KPI_Calculations!E14, Table7[Total_Sales], 0))</f>
        <v>Amit</v>
      </c>
      <c r="E14" s="32">
        <f>MAX(Table7[Total_Sales])</f>
        <v>730</v>
      </c>
    </row>
    <row r="15" spans="1:5" ht="15.75" thickBot="1" x14ac:dyDescent="0.3">
      <c r="D15" s="33"/>
      <c r="E15" s="34"/>
    </row>
    <row r="16" spans="1:5" x14ac:dyDescent="0.25">
      <c r="A16" s="51" t="s">
        <v>65</v>
      </c>
      <c r="B16" s="52" t="s">
        <v>48</v>
      </c>
      <c r="D16" s="35" t="s">
        <v>63</v>
      </c>
      <c r="E16" s="36" t="s">
        <v>50</v>
      </c>
    </row>
    <row r="17" spans="1:5" x14ac:dyDescent="0.25">
      <c r="A17" s="31" t="str">
        <f>INDEX(Table8[Quarter], MATCH(KPI_Calculations!B17, Table8[Total_Sales], 0))</f>
        <v>Q2</v>
      </c>
      <c r="B17" s="32">
        <f>MAX(Table8[Total_Sales])</f>
        <v>1390</v>
      </c>
      <c r="D17" s="31" t="str">
        <f>INDEX(Table7[Salesperson], MATCH(KPI_Calculations!E17, Table7[Total_Achievement_%], 0))</f>
        <v>Rahul</v>
      </c>
      <c r="E17" s="37">
        <f>MAX(Table7[Total_Achievement_%])</f>
        <v>1.1052631578947369</v>
      </c>
    </row>
    <row r="18" spans="1:5" x14ac:dyDescent="0.25">
      <c r="A18" s="46"/>
      <c r="B18" s="47"/>
      <c r="D18" s="33"/>
      <c r="E18" s="34"/>
    </row>
    <row r="19" spans="1:5" x14ac:dyDescent="0.25">
      <c r="A19" s="53" t="s">
        <v>66</v>
      </c>
      <c r="B19" s="54" t="s">
        <v>50</v>
      </c>
      <c r="D19" s="35" t="s">
        <v>64</v>
      </c>
      <c r="E19" s="36" t="s">
        <v>52</v>
      </c>
    </row>
    <row r="20" spans="1:5" ht="15.75" thickBot="1" x14ac:dyDescent="0.3">
      <c r="A20" s="38" t="str">
        <f>INDEX(Table8[Quarter], MATCH(KPI_Calculations!B20, Table8[Total_Achievement_%], 0))</f>
        <v>Q2</v>
      </c>
      <c r="B20" s="50">
        <f>MAX(Table8[Total_Achievement_%])</f>
        <v>1.1031746031746033</v>
      </c>
      <c r="D20" s="38" t="str">
        <f>INDEX(Table7[Salesperson], MATCH(KPI_Calculations!E20, Table7[Total_Variance], 0))</f>
        <v>Rahul</v>
      </c>
      <c r="E20" s="39">
        <f>MAX(Table7[Total_Variance])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Formulas_Challenge</vt:lpstr>
      <vt:lpstr>KPI_Calculations_Challenge</vt:lpstr>
      <vt:lpstr>Case_Study</vt:lpstr>
      <vt:lpstr>Helping_Table</vt:lpstr>
      <vt:lpstr>KPI_Calculations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2026-10-07T14:26:02Z</dcterms:created>
  <dcterms:modified xsi:type="dcterms:W3CDTF">2026-10-08T11:36:08Z</dcterms:modified>
</cp:coreProperties>
</file>