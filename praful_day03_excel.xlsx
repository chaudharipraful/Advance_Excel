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3\"/>
    </mc:Choice>
  </mc:AlternateContent>
  <bookViews>
    <workbookView xWindow="0" yWindow="0" windowWidth="20490" windowHeight="6900" firstSheet="3" activeTab="6"/>
  </bookViews>
  <sheets>
    <sheet name="IF_ELSE_Condition" sheetId="1" r:id="rId1"/>
    <sheet name="AND_OR_Condition" sheetId="2" r:id="rId2"/>
    <sheet name="IF_ERROR_Function" sheetId="3" r:id="rId3"/>
    <sheet name="SUM_IF_Formula" sheetId="4" r:id="rId4"/>
    <sheet name="SUM_IFS_Formula" sheetId="5" r:id="rId5"/>
    <sheet name="COUNT_IF_Formula" sheetId="6" r:id="rId6"/>
    <sheet name="COUNT_IFS_Formula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7" l="1"/>
  <c r="N6" i="7"/>
  <c r="N4" i="7"/>
  <c r="G3" i="7"/>
  <c r="F4" i="6"/>
  <c r="F2" i="6"/>
  <c r="O6" i="5"/>
  <c r="O4" i="5"/>
  <c r="O2" i="5"/>
  <c r="F5" i="5"/>
  <c r="F6" i="4"/>
  <c r="F7" i="4"/>
  <c r="F5" i="4"/>
  <c r="D9" i="3"/>
  <c r="D10" i="3"/>
  <c r="D11" i="3"/>
  <c r="D12" i="3"/>
  <c r="D2" i="3"/>
  <c r="D3" i="3"/>
  <c r="D4" i="3"/>
  <c r="D5" i="3"/>
  <c r="L10" i="2"/>
  <c r="L11" i="2"/>
  <c r="L12" i="2"/>
  <c r="L9" i="2"/>
  <c r="E10" i="2"/>
  <c r="E11" i="2"/>
  <c r="E12" i="2"/>
  <c r="E9" i="2"/>
  <c r="E2" i="2"/>
  <c r="E3" i="2"/>
  <c r="E4" i="2"/>
  <c r="E5" i="2"/>
  <c r="E17" i="1"/>
  <c r="E18" i="1"/>
  <c r="E19" i="1"/>
  <c r="E20" i="1"/>
  <c r="D20" i="1" l="1"/>
  <c r="D19" i="1"/>
  <c r="D18" i="1"/>
  <c r="D17" i="1"/>
  <c r="E10" i="1"/>
  <c r="E11" i="1"/>
  <c r="E12" i="1"/>
  <c r="E9" i="1"/>
  <c r="D10" i="1"/>
  <c r="D11" i="1"/>
  <c r="D12" i="1"/>
  <c r="D9" i="1"/>
  <c r="O3" i="1"/>
  <c r="O4" i="1"/>
  <c r="O5" i="1"/>
  <c r="O2" i="1"/>
  <c r="N3" i="1"/>
  <c r="N4" i="1"/>
  <c r="N5" i="1"/>
  <c r="N2" i="1"/>
  <c r="I3" i="1"/>
  <c r="I4" i="1"/>
  <c r="I5" i="1"/>
  <c r="I2" i="1"/>
  <c r="D3" i="1"/>
  <c r="D4" i="1"/>
  <c r="D2" i="1"/>
</calcChain>
</file>

<file path=xl/sharedStrings.xml><?xml version="1.0" encoding="utf-8"?>
<sst xmlns="http://schemas.openxmlformats.org/spreadsheetml/2006/main" count="199" uniqueCount="48">
  <si>
    <t>Salesperson</t>
  </si>
  <si>
    <t>Sales</t>
  </si>
  <si>
    <t>Target</t>
  </si>
  <si>
    <t>Rahul</t>
  </si>
  <si>
    <t>Priya</t>
  </si>
  <si>
    <t>Amit</t>
  </si>
  <si>
    <t>Check_Target</t>
  </si>
  <si>
    <t>A</t>
  </si>
  <si>
    <t>B</t>
  </si>
  <si>
    <t>C</t>
  </si>
  <si>
    <t>D</t>
  </si>
  <si>
    <t>Check_Achievement</t>
  </si>
  <si>
    <t>Achievement_%</t>
  </si>
  <si>
    <t>Achievement_Status</t>
  </si>
  <si>
    <t>Achievement</t>
  </si>
  <si>
    <t>Without creating the "Achievement" column seperately</t>
  </si>
  <si>
    <t>Rating</t>
  </si>
  <si>
    <t>Bonus_Eligibility</t>
  </si>
  <si>
    <t>Folloup_Status</t>
  </si>
  <si>
    <t>AND</t>
  </si>
  <si>
    <t>OR</t>
  </si>
  <si>
    <t>Leads</t>
  </si>
  <si>
    <t>Sales_Per_Lead</t>
  </si>
  <si>
    <t>IFERROR</t>
  </si>
  <si>
    <t>Country</t>
  </si>
  <si>
    <t>Kenya</t>
  </si>
  <si>
    <t>Nigeria</t>
  </si>
  <si>
    <t>Tanzania</t>
  </si>
  <si>
    <t>Result</t>
  </si>
  <si>
    <t xml:space="preserve">Total_Sales </t>
  </si>
  <si>
    <t>Product</t>
  </si>
  <si>
    <t>Insurance</t>
  </si>
  <si>
    <t>Loans</t>
  </si>
  <si>
    <t>Total_Insurance_sales_Kenya</t>
  </si>
  <si>
    <t>Total_Sales_Kenya + Loans</t>
  </si>
  <si>
    <t>Total_Sales_Nigeria + Insurance</t>
  </si>
  <si>
    <t>Total_Sales_Kenya + Insurance</t>
  </si>
  <si>
    <t>Status</t>
  </si>
  <si>
    <t>Achieved</t>
  </si>
  <si>
    <t>Not Achieved</t>
  </si>
  <si>
    <t>E</t>
  </si>
  <si>
    <t>F</t>
  </si>
  <si>
    <t>Total_Salesperson_Achieved_Target</t>
  </si>
  <si>
    <t>Total_Salesperson_Not_Achieved_Target</t>
  </si>
  <si>
    <t>Total_Count_Kenya + Insurance_records_Achieved</t>
  </si>
  <si>
    <t>Kenya + Loans + Achieved</t>
  </si>
  <si>
    <t>Nigeria + Loans + Not Achieved</t>
  </si>
  <si>
    <t>Kenya + Insurance +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</si>
</sst>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3" fontId="0" fillId="0" borderId="8" xfId="0" applyNumberFormat="1" applyFont="1" applyBorder="1" applyAlignment="1">
      <alignment horizontal="center" vertical="center" wrapText="1"/>
    </xf>
    <xf numFmtId="164" fontId="0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3" fontId="0" fillId="5" borderId="11" xfId="0" applyNumberFormat="1" applyFont="1" applyFill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</cellXfs>
  <cellStyles count="1">
    <cellStyle name="Normal" xfId="0" builtinId="0"/>
  </cellStyles>
  <dxfs count="8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4" totalsRowShown="0">
  <tableColumns count="4">
    <tableColumn id="1" name="Salesperson" dataDxfId="80"/>
    <tableColumn id="2" name="Sales" dataDxfId="79"/>
    <tableColumn id="3" name="Target" dataDxfId="78"/>
    <tableColumn id="4" name="Check_Target">
      <calculatedColumnFormula>IF(B2&gt;=C2,"Achieved","Not_Achieved")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I5" totalsRowShown="0">
  <tableColumns count="4">
    <tableColumn id="1" name="Salesperson" dataDxfId="77"/>
    <tableColumn id="2" name="Sales" dataDxfId="76"/>
    <tableColumn id="3" name="Target" dataDxfId="75"/>
    <tableColumn id="4" name="Check_Achievement">
      <calculatedColumnFormula>IF(G2&gt;=H2, "Achieved", "Not_Achieved")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1:O5" totalsRowShown="0" headerRowDxfId="74" dataDxfId="73">
  <autoFilter ref="K1:O5"/>
  <tableColumns count="5">
    <tableColumn id="1" name="Salesperson" dataDxfId="72"/>
    <tableColumn id="2" name="Sales" dataDxfId="71"/>
    <tableColumn id="3" name="Target" dataDxfId="70"/>
    <tableColumn id="4" name="Achievement_%" dataDxfId="69">
      <calculatedColumnFormula>L2/M2</calculatedColumnFormula>
    </tableColumn>
    <tableColumn id="5" name="Achievement_Status" dataDxfId="68">
      <calculatedColumnFormula>IF(N2&gt;=100%,"Achived",IF(N2&gt;=90%,"Near_Target", "Not_Achived"))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E12" totalsRowShown="0" headerRowDxfId="67" dataDxfId="66">
  <autoFilter ref="A8:E12"/>
  <tableColumns count="5">
    <tableColumn id="1" name="Salesperson" dataDxfId="65"/>
    <tableColumn id="2" name="Sales" dataDxfId="64"/>
    <tableColumn id="3" name="Target" dataDxfId="63"/>
    <tableColumn id="4" name="Achievement" dataDxfId="62">
      <calculatedColumnFormula>B9/C9</calculatedColumnFormula>
    </tableColumn>
    <tableColumn id="5" name="Achievement_Status" dataDxfId="61">
      <calculatedColumnFormula>IF(D9&gt;=120%, "Excellent", IF(D9&gt;=100%, "Achieved", IF(D9&gt;=80%, "Needs_Improvement", "Poor")))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6:E20" totalsRowShown="0" headerRowDxfId="60" headerRowBorderDxfId="59" tableBorderDxfId="58" totalsRowBorderDxfId="57">
  <autoFilter ref="A16:E20"/>
  <tableColumns count="5">
    <tableColumn id="1" name="Salesperson"/>
    <tableColumn id="2" name="Sales"/>
    <tableColumn id="3" name="Target"/>
    <tableColumn id="4" name="Achievement">
      <calculatedColumnFormula>B17/C17</calculatedColumnFormula>
    </tableColumn>
    <tableColumn id="5" name="Achievement_Status" dataDxfId="56">
      <calculatedColumnFormula>IF(Table5[[#This Row],[Sales]]&gt;=120%*Table5[[#This Row],[Target]], "Excellent", IF(Table5[[#This Row],[Sales]]&gt;=100%*Table5[[#This Row],[Target]], "Achieved", IF(Table5[[#This Row],[Sales]]&gt;=80%*Table5[[#This Row],[Target]], "Needs_Improvement", "Poor")))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5" totalsRowShown="0" headerRowDxfId="51" dataDxfId="50">
  <tableColumns count="5">
    <tableColumn id="1" name="Salesperson" dataDxfId="55"/>
    <tableColumn id="2" name="Sales" dataDxfId="54"/>
    <tableColumn id="3" name="Target" dataDxfId="53"/>
    <tableColumn id="4" name="Rating" dataDxfId="52"/>
    <tableColumn id="5" name="Bonus_Eligibility" dataDxfId="49">
      <calculatedColumnFormula>IF(AND(Table6[[#This Row],[Sales]]&gt;=Table6[[#This Row],[Target]], Table6[[#This Row],[Rating]]&gt;=4), "Eligible_for_Bonus", "Not_Eligible")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8:E12" totalsRowShown="0" headerRowDxfId="47" tableBorderDxfId="48">
  <tableColumns count="5">
    <tableColumn id="1" name="Salesperson"/>
    <tableColumn id="2" name="Sales"/>
    <tableColumn id="3" name="Target"/>
    <tableColumn id="4" name="Rating"/>
    <tableColumn id="5" name="Folloup_Status">
      <calculatedColumnFormula>IF(OR(B9&lt;C9,D9&lt;4), "Priority_Folloup", "Normal")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H8:L12" totalsRowShown="0" headerRowDxfId="41" dataDxfId="40">
  <autoFilter ref="H8:L12"/>
  <tableColumns count="5">
    <tableColumn id="1" name="Salesperson" dataDxfId="46"/>
    <tableColumn id="2" name="Sales" dataDxfId="45"/>
    <tableColumn id="3" name="Target" dataDxfId="44"/>
    <tableColumn id="4" name="Rating" dataDxfId="43"/>
    <tableColumn id="5" name="Folloup_Status" dataDxfId="42">
      <calculatedColumnFormula>IF(OR(I9&lt;J9,K9&lt;3),"Urgent_Folloup","Normal_Folloup")</calculatedColumnFormula>
    </tableColumn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5" totalsRowShown="0" headerRowDxfId="36" dataDxfId="35">
  <tableColumns count="4">
    <tableColumn id="1" name="Salesperson" dataDxfId="39"/>
    <tableColumn id="2" name="Sales" dataDxfId="38"/>
    <tableColumn id="3" name="Leads" dataDxfId="37"/>
    <tableColumn id="4" name="Sales_Per_Lead" dataDxfId="34">
      <calculatedColumnFormula>Table9[[#This Row],[Sales]]/Table9[[#This Row],[Leads]]</calculatedColumnFormula>
    </tableColumn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id="10" name="Table911" displayName="Table911" ref="A8:D12" totalsRowShown="0" headerRowDxfId="33" dataDxfId="32">
  <tableColumns count="4">
    <tableColumn id="1" name="Salesperson" dataDxfId="31"/>
    <tableColumn id="2" name="Sales" dataDxfId="30"/>
    <tableColumn id="3" name="Leads" dataDxfId="29"/>
    <tableColumn id="4" name="Sales_Per_Lead" dataDxfId="28">
      <calculatedColumnFormula>IFERROR(Table911[[#This Row],[Sales]]/Table911[[#This Row],[Leads]], "No_Lead")</calculatedColumnFormula>
    </tableColumn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7" totalsRowShown="0" headerRowDxfId="25" dataDxfId="24">
  <autoFilter ref="A1:B7"/>
  <tableColumns count="2">
    <tableColumn id="1" name="Country" dataDxfId="27"/>
    <tableColumn id="2" name="Sales" dataDxfId="26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C7" totalsRowShown="0" headerRowDxfId="20" dataDxfId="19">
  <tableColumns count="3">
    <tableColumn id="1" name="Country" dataDxfId="23"/>
    <tableColumn id="2" name="Product" dataDxfId="22"/>
    <tableColumn id="3" name="Sales" dataDxfId="21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I2:K8" totalsRowShown="0" headerRowDxfId="15" dataDxfId="14">
  <tableColumns count="3">
    <tableColumn id="1" name="Country" dataDxfId="18"/>
    <tableColumn id="2" name="Product" dataDxfId="17"/>
    <tableColumn id="3" name="Sales" dataDxfId="16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B7" totalsRowShown="0" headerRowDxfId="10" dataDxfId="11">
  <tableColumns count="2">
    <tableColumn id="1" name="Salesperson" dataDxfId="13"/>
    <tableColumn id="2" name="Status" dataDxfId="12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C7" totalsRowShown="0" headerRowDxfId="5" dataDxfId="6">
  <tableColumns count="3">
    <tableColumn id="1" name="Country" dataDxfId="9"/>
    <tableColumn id="2" name="Product" dataDxfId="8"/>
    <tableColumn id="3" name="Status" dataDxfId="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I1:K7" totalsRowShown="0" headerRowDxfId="0" dataDxfId="1">
  <tableColumns count="3">
    <tableColumn id="1" name="Country" dataDxfId="4"/>
    <tableColumn id="2" name="Product" dataDxfId="3"/>
    <tableColumn id="3" name="Statu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B7" zoomScaleNormal="100" workbookViewId="0">
      <selection activeCell="I10" sqref="I10"/>
    </sheetView>
  </sheetViews>
  <sheetFormatPr defaultRowHeight="15" x14ac:dyDescent="0.25"/>
  <cols>
    <col min="1" max="1" width="16.42578125" customWidth="1"/>
    <col min="2" max="2" width="10.42578125" bestFit="1" customWidth="1"/>
    <col min="3" max="3" width="11.7109375" bestFit="1" customWidth="1"/>
    <col min="4" max="4" width="17.7109375" customWidth="1"/>
    <col min="5" max="5" width="24.42578125" customWidth="1"/>
    <col min="6" max="6" width="13.42578125" customWidth="1"/>
    <col min="7" max="8" width="8.7109375" bestFit="1" customWidth="1"/>
    <col min="9" max="9" width="20.85546875" customWidth="1"/>
    <col min="11" max="11" width="16.42578125" bestFit="1" customWidth="1"/>
    <col min="12" max="12" width="10.42578125" bestFit="1" customWidth="1"/>
    <col min="13" max="13" width="11.7109375" bestFit="1" customWidth="1"/>
    <col min="14" max="14" width="20.28515625" style="8" bestFit="1" customWidth="1"/>
    <col min="15" max="15" width="24.42578125" bestFit="1" customWidth="1"/>
  </cols>
  <sheetData>
    <row r="1" spans="1:15" x14ac:dyDescent="0.25">
      <c r="A1" s="3" t="s">
        <v>0</v>
      </c>
      <c r="B1" s="4" t="s">
        <v>1</v>
      </c>
      <c r="C1" s="4" t="s">
        <v>2</v>
      </c>
      <c r="D1" s="7" t="s">
        <v>6</v>
      </c>
      <c r="F1" s="3" t="s">
        <v>0</v>
      </c>
      <c r="G1" s="4" t="s">
        <v>1</v>
      </c>
      <c r="H1" s="4" t="s">
        <v>2</v>
      </c>
      <c r="I1" s="7" t="s">
        <v>11</v>
      </c>
      <c r="K1" s="9" t="s">
        <v>0</v>
      </c>
      <c r="L1" s="9" t="s">
        <v>1</v>
      </c>
      <c r="M1" s="9" t="s">
        <v>2</v>
      </c>
      <c r="N1" s="10" t="s">
        <v>12</v>
      </c>
      <c r="O1" s="11" t="s">
        <v>13</v>
      </c>
    </row>
    <row r="2" spans="1:15" x14ac:dyDescent="0.25">
      <c r="A2" s="5" t="s">
        <v>3</v>
      </c>
      <c r="B2" s="6">
        <v>120000</v>
      </c>
      <c r="C2" s="6">
        <v>100000</v>
      </c>
      <c r="D2" t="str">
        <f>IF(B2&gt;=C2,"Achieved","Not_Achieved")</f>
        <v>Achieved</v>
      </c>
      <c r="F2" s="5" t="s">
        <v>7</v>
      </c>
      <c r="G2" s="6">
        <v>95000</v>
      </c>
      <c r="H2" s="6">
        <v>100000</v>
      </c>
      <c r="I2" t="str">
        <f>IF(G2&gt;=H2, "Achieved", "Not_Achieved")</f>
        <v>Not_Achieved</v>
      </c>
      <c r="K2" s="11" t="s">
        <v>7</v>
      </c>
      <c r="L2" s="12">
        <v>100000</v>
      </c>
      <c r="M2" s="12">
        <v>100000</v>
      </c>
      <c r="N2" s="10">
        <f>L2/M2</f>
        <v>1</v>
      </c>
      <c r="O2" s="11" t="str">
        <f>IF(N2&gt;=100%,"Achived",IF(N2&gt;=90%,"Near_Target", "Not_Achived"))</f>
        <v>Achived</v>
      </c>
    </row>
    <row r="3" spans="1:15" x14ac:dyDescent="0.25">
      <c r="A3" s="5" t="s">
        <v>4</v>
      </c>
      <c r="B3" s="6">
        <v>85000</v>
      </c>
      <c r="C3" s="6">
        <v>100000</v>
      </c>
      <c r="D3" t="str">
        <f t="shared" ref="D3:D4" si="0">IF(B3&gt;=C3,"Achieved","Not_Achieved")</f>
        <v>Not_Achieved</v>
      </c>
      <c r="F3" s="5" t="s">
        <v>8</v>
      </c>
      <c r="G3" s="6">
        <v>120000</v>
      </c>
      <c r="H3" s="6">
        <v>100000</v>
      </c>
      <c r="I3" t="str">
        <f t="shared" ref="I3:I5" si="1">IF(G3&gt;=H3, "Achieved", "Not_Achieved")</f>
        <v>Achieved</v>
      </c>
      <c r="K3" s="11" t="s">
        <v>8</v>
      </c>
      <c r="L3" s="12">
        <v>95000</v>
      </c>
      <c r="M3" s="12">
        <v>100000</v>
      </c>
      <c r="N3" s="10">
        <f t="shared" ref="N3:N5" si="2">L3/M3</f>
        <v>0.95</v>
      </c>
      <c r="O3" s="11" t="str">
        <f t="shared" ref="O3:O5" si="3">IF(N3&gt;=100%,"Achived",IF(N3&gt;=90%,"Near_Target", "Not_Achived"))</f>
        <v>Near_Target</v>
      </c>
    </row>
    <row r="4" spans="1:15" x14ac:dyDescent="0.25">
      <c r="A4" s="5" t="s">
        <v>5</v>
      </c>
      <c r="B4" s="6">
        <v>100000</v>
      </c>
      <c r="C4" s="6">
        <v>100000</v>
      </c>
      <c r="D4" t="str">
        <f t="shared" si="0"/>
        <v>Achieved</v>
      </c>
      <c r="F4" s="5" t="s">
        <v>9</v>
      </c>
      <c r="G4" s="6">
        <v>100000</v>
      </c>
      <c r="H4" s="6">
        <v>100000</v>
      </c>
      <c r="I4" t="str">
        <f t="shared" si="1"/>
        <v>Achieved</v>
      </c>
      <c r="K4" s="11" t="s">
        <v>9</v>
      </c>
      <c r="L4" s="12">
        <v>85000</v>
      </c>
      <c r="M4" s="12">
        <v>100000</v>
      </c>
      <c r="N4" s="10">
        <f t="shared" si="2"/>
        <v>0.85</v>
      </c>
      <c r="O4" s="11" t="str">
        <f t="shared" si="3"/>
        <v>Not_Achived</v>
      </c>
    </row>
    <row r="5" spans="1:15" x14ac:dyDescent="0.25">
      <c r="F5" s="5" t="s">
        <v>10</v>
      </c>
      <c r="G5" s="6">
        <v>75000</v>
      </c>
      <c r="H5" s="6">
        <v>80000</v>
      </c>
      <c r="I5" t="str">
        <f t="shared" si="1"/>
        <v>Not_Achieved</v>
      </c>
      <c r="K5" s="11" t="s">
        <v>10</v>
      </c>
      <c r="L5" s="12">
        <v>70000</v>
      </c>
      <c r="M5" s="12">
        <v>100000</v>
      </c>
      <c r="N5" s="10">
        <f t="shared" si="2"/>
        <v>0.7</v>
      </c>
      <c r="O5" s="11" t="str">
        <f t="shared" si="3"/>
        <v>Not_Achived</v>
      </c>
    </row>
    <row r="8" spans="1:15" x14ac:dyDescent="0.25">
      <c r="A8" s="2" t="s">
        <v>0</v>
      </c>
      <c r="B8" s="2" t="s">
        <v>1</v>
      </c>
      <c r="C8" s="2" t="s">
        <v>2</v>
      </c>
      <c r="D8" s="3" t="s">
        <v>14</v>
      </c>
      <c r="E8" s="3" t="s">
        <v>13</v>
      </c>
    </row>
    <row r="9" spans="1:15" x14ac:dyDescent="0.25">
      <c r="A9" s="1" t="s">
        <v>7</v>
      </c>
      <c r="B9" s="13">
        <v>130000</v>
      </c>
      <c r="C9" s="13">
        <v>100000</v>
      </c>
      <c r="D9" s="14">
        <f>B9/C9</f>
        <v>1.3</v>
      </c>
      <c r="E9" s="15" t="str">
        <f>IF(D9&gt;=120%, "Excellent", IF(D9&gt;=100%, "Achieved", IF(D9&gt;=80%, "Needs_Improvement", "Poor")))</f>
        <v>Excellent</v>
      </c>
    </row>
    <row r="10" spans="1:15" x14ac:dyDescent="0.25">
      <c r="A10" s="1" t="s">
        <v>8</v>
      </c>
      <c r="B10" s="13">
        <v>110000</v>
      </c>
      <c r="C10" s="13">
        <v>100000</v>
      </c>
      <c r="D10" s="14">
        <f t="shared" ref="D10:D12" si="4">B10/C10</f>
        <v>1.1000000000000001</v>
      </c>
      <c r="E10" s="15" t="str">
        <f t="shared" ref="E10:E12" si="5">IF(D10&gt;=120%, "Excellent", IF(D10&gt;=100%, "Achieved", IF(D10&gt;=80%, "Needs_Improvement", "Poor")))</f>
        <v>Achieved</v>
      </c>
    </row>
    <row r="11" spans="1:15" x14ac:dyDescent="0.25">
      <c r="A11" s="1" t="s">
        <v>9</v>
      </c>
      <c r="B11" s="13">
        <v>85000</v>
      </c>
      <c r="C11" s="13">
        <v>100000</v>
      </c>
      <c r="D11" s="14">
        <f t="shared" si="4"/>
        <v>0.85</v>
      </c>
      <c r="E11" s="15" t="str">
        <f t="shared" si="5"/>
        <v>Needs_Improvement</v>
      </c>
    </row>
    <row r="12" spans="1:15" x14ac:dyDescent="0.25">
      <c r="A12" s="1" t="s">
        <v>10</v>
      </c>
      <c r="B12" s="13">
        <v>70000</v>
      </c>
      <c r="C12" s="13">
        <v>100000</v>
      </c>
      <c r="D12" s="14">
        <f t="shared" si="4"/>
        <v>0.7</v>
      </c>
      <c r="E12" s="15" t="str">
        <f t="shared" si="5"/>
        <v>Poor</v>
      </c>
    </row>
    <row r="16" spans="1:15" ht="15.75" thickBot="1" x14ac:dyDescent="0.3">
      <c r="A16" s="22" t="s">
        <v>0</v>
      </c>
      <c r="B16" s="23" t="s">
        <v>1</v>
      </c>
      <c r="C16" s="23" t="s">
        <v>2</v>
      </c>
      <c r="D16" s="24" t="s">
        <v>14</v>
      </c>
      <c r="E16" s="28" t="s">
        <v>13</v>
      </c>
    </row>
    <row r="17" spans="1:5" x14ac:dyDescent="0.25">
      <c r="A17" s="18" t="s">
        <v>7</v>
      </c>
      <c r="B17" s="16">
        <v>130000</v>
      </c>
      <c r="C17" s="16">
        <v>100000</v>
      </c>
      <c r="D17" s="20">
        <f>B17/C17</f>
        <v>1.3</v>
      </c>
      <c r="E17" t="str">
        <f>IF(Table5[[#This Row],[Sales]]&gt;=120%*Table5[[#This Row],[Target]], "Excellent", IF(Table5[[#This Row],[Sales]]&gt;=100%*Table5[[#This Row],[Target]], "Achieved", IF(Table5[[#This Row],[Sales]]&gt;=80%*Table5[[#This Row],[Target]], "Needs_Improvement", "Poor")))</f>
        <v>Excellent</v>
      </c>
    </row>
    <row r="18" spans="1:5" x14ac:dyDescent="0.25">
      <c r="A18" s="19" t="s">
        <v>8</v>
      </c>
      <c r="B18" s="17">
        <v>110000</v>
      </c>
      <c r="C18" s="17">
        <v>100000</v>
      </c>
      <c r="D18" s="21">
        <f t="shared" ref="D18:D20" si="6">B18/C18</f>
        <v>1.1000000000000001</v>
      </c>
      <c r="E18" t="str">
        <f>IF(Table5[[#This Row],[Sales]]&gt;=120%*Table5[[#This Row],[Target]], "Excellent", IF(Table5[[#This Row],[Sales]]&gt;=100%*Table5[[#This Row],[Target]], "Achieved", IF(Table5[[#This Row],[Sales]]&gt;=80%*Table5[[#This Row],[Target]], "Needs_Improvement", "Poor")))</f>
        <v>Achieved</v>
      </c>
    </row>
    <row r="19" spans="1:5" x14ac:dyDescent="0.25">
      <c r="A19" s="18" t="s">
        <v>9</v>
      </c>
      <c r="B19" s="16">
        <v>85000</v>
      </c>
      <c r="C19" s="16">
        <v>100000</v>
      </c>
      <c r="D19" s="20">
        <f t="shared" si="6"/>
        <v>0.85</v>
      </c>
      <c r="E19" t="str">
        <f>IF(Table5[[#This Row],[Sales]]&gt;=120%*Table5[[#This Row],[Target]], "Excellent", IF(Table5[[#This Row],[Sales]]&gt;=100%*Table5[[#This Row],[Target]], "Achieved", IF(Table5[[#This Row],[Sales]]&gt;=80%*Table5[[#This Row],[Target]], "Needs_Improvement", "Poor")))</f>
        <v>Needs_Improvement</v>
      </c>
    </row>
    <row r="20" spans="1:5" x14ac:dyDescent="0.25">
      <c r="A20" s="25" t="s">
        <v>10</v>
      </c>
      <c r="B20" s="26">
        <v>70000</v>
      </c>
      <c r="C20" s="26">
        <v>100000</v>
      </c>
      <c r="D20" s="27">
        <f t="shared" si="6"/>
        <v>0.7</v>
      </c>
      <c r="E20" t="str">
        <f>IF(Table5[[#This Row],[Sales]]&gt;=120%*Table5[[#This Row],[Target]], "Excellent", IF(Table5[[#This Row],[Sales]]&gt;=100%*Table5[[#This Row],[Target]], "Achieved", IF(Table5[[#This Row],[Sales]]&gt;=80%*Table5[[#This Row],[Target]], "Needs_Improvement", "Poor")))</f>
        <v>Poor</v>
      </c>
    </row>
    <row r="22" spans="1:5" x14ac:dyDescent="0.25">
      <c r="A22" s="29" t="s">
        <v>15</v>
      </c>
      <c r="B22" s="29"/>
      <c r="C22" s="29"/>
      <c r="D22" s="29"/>
      <c r="E22" s="29"/>
    </row>
  </sheetData>
  <mergeCells count="1">
    <mergeCell ref="A22:E22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L9" sqref="L9"/>
    </sheetView>
  </sheetViews>
  <sheetFormatPr defaultRowHeight="15" x14ac:dyDescent="0.25"/>
  <cols>
    <col min="1" max="1" width="16.28515625" bestFit="1" customWidth="1"/>
    <col min="2" max="2" width="10.140625" bestFit="1" customWidth="1"/>
    <col min="3" max="4" width="11.140625" bestFit="1" customWidth="1"/>
    <col min="5" max="5" width="17.85546875" bestFit="1" customWidth="1"/>
    <col min="8" max="8" width="16.28515625" customWidth="1"/>
    <col min="9" max="9" width="10.140625" customWidth="1"/>
    <col min="10" max="11" width="11.140625" customWidth="1"/>
    <col min="12" max="12" width="18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16</v>
      </c>
      <c r="E1" s="36" t="s">
        <v>17</v>
      </c>
      <c r="F1" s="38" t="s">
        <v>19</v>
      </c>
    </row>
    <row r="2" spans="1:12" x14ac:dyDescent="0.25">
      <c r="A2" s="15" t="s">
        <v>7</v>
      </c>
      <c r="B2" s="30">
        <v>120000</v>
      </c>
      <c r="C2" s="30">
        <v>100000</v>
      </c>
      <c r="D2" s="15">
        <v>4.5</v>
      </c>
      <c r="E2" s="15" t="str">
        <f>IF(AND(Table6[[#This Row],[Sales]]&gt;=Table6[[#This Row],[Target]], Table6[[#This Row],[Rating]]&gt;=4), "Eligible_for_Bonus", "Not_Eligible")</f>
        <v>Eligible_for_Bonus</v>
      </c>
      <c r="F2" s="38"/>
    </row>
    <row r="3" spans="1:12" x14ac:dyDescent="0.25">
      <c r="A3" s="15" t="s">
        <v>8</v>
      </c>
      <c r="B3" s="30">
        <v>110000</v>
      </c>
      <c r="C3" s="30">
        <v>100000</v>
      </c>
      <c r="D3" s="15">
        <v>3.5</v>
      </c>
      <c r="E3" s="15" t="str">
        <f>IF(AND(Table6[[#This Row],[Sales]]&gt;=Table6[[#This Row],[Target]], Table6[[#This Row],[Rating]]&gt;=4), "Eligible_for_Bonus", "Not_Eligible")</f>
        <v>Not_Eligible</v>
      </c>
      <c r="F3" s="38"/>
    </row>
    <row r="4" spans="1:12" x14ac:dyDescent="0.25">
      <c r="A4" s="15" t="s">
        <v>9</v>
      </c>
      <c r="B4" s="30">
        <v>90000</v>
      </c>
      <c r="C4" s="30">
        <v>100000</v>
      </c>
      <c r="D4" s="15">
        <v>4.5</v>
      </c>
      <c r="E4" s="15" t="str">
        <f>IF(AND(Table6[[#This Row],[Sales]]&gt;=Table6[[#This Row],[Target]], Table6[[#This Row],[Rating]]&gt;=4), "Eligible_for_Bonus", "Not_Eligible")</f>
        <v>Not_Eligible</v>
      </c>
      <c r="F4" s="38"/>
    </row>
    <row r="5" spans="1:12" x14ac:dyDescent="0.25">
      <c r="A5" s="15" t="s">
        <v>10</v>
      </c>
      <c r="B5" s="30">
        <v>100000</v>
      </c>
      <c r="C5" s="30">
        <v>100000</v>
      </c>
      <c r="D5" s="15">
        <v>4</v>
      </c>
      <c r="E5" s="15" t="str">
        <f>IF(AND(Table6[[#This Row],[Sales]]&gt;=Table6[[#This Row],[Target]], Table6[[#This Row],[Rating]]&gt;=4), "Eligible_for_Bonus", "Not_Eligible")</f>
        <v>Eligible_for_Bonus</v>
      </c>
      <c r="F5" s="38"/>
    </row>
    <row r="8" spans="1:12" x14ac:dyDescent="0.25">
      <c r="A8" s="31" t="s">
        <v>0</v>
      </c>
      <c r="B8" s="31" t="s">
        <v>1</v>
      </c>
      <c r="C8" s="31" t="s">
        <v>2</v>
      </c>
      <c r="D8" s="31" t="s">
        <v>16</v>
      </c>
      <c r="E8" s="37" t="s">
        <v>18</v>
      </c>
      <c r="F8" s="38" t="s">
        <v>20</v>
      </c>
      <c r="H8" s="3" t="s">
        <v>0</v>
      </c>
      <c r="I8" s="3" t="s">
        <v>1</v>
      </c>
      <c r="J8" s="3" t="s">
        <v>2</v>
      </c>
      <c r="K8" s="3" t="s">
        <v>16</v>
      </c>
      <c r="L8" s="39" t="s">
        <v>18</v>
      </c>
    </row>
    <row r="9" spans="1:12" x14ac:dyDescent="0.25">
      <c r="A9" s="34" t="s">
        <v>7</v>
      </c>
      <c r="B9" s="32">
        <v>120000</v>
      </c>
      <c r="C9" s="32">
        <v>100000</v>
      </c>
      <c r="D9" s="34">
        <v>4.5</v>
      </c>
      <c r="E9" t="str">
        <f>IF(OR(B9&lt;C9,D9&lt;4), "Priority_Folloup", "Normal")</f>
        <v>Normal</v>
      </c>
      <c r="F9" s="38"/>
      <c r="H9" s="15" t="s">
        <v>7</v>
      </c>
      <c r="I9" s="30">
        <v>120000</v>
      </c>
      <c r="J9" s="30">
        <v>100000</v>
      </c>
      <c r="K9" s="15">
        <v>4.5</v>
      </c>
      <c r="L9" s="11" t="str">
        <f>IF(OR(I9&lt;J9,K9&lt;3),"Urgent_Folloup","Normal_Folloup")</f>
        <v>Normal_Folloup</v>
      </c>
    </row>
    <row r="10" spans="1:12" x14ac:dyDescent="0.25">
      <c r="A10" s="35" t="s">
        <v>8</v>
      </c>
      <c r="B10" s="33">
        <v>110000</v>
      </c>
      <c r="C10" s="33">
        <v>100000</v>
      </c>
      <c r="D10" s="35">
        <v>3.5</v>
      </c>
      <c r="E10" t="str">
        <f t="shared" ref="E10:E12" si="0">IF(OR(B10&lt;C10,D10&lt;4), "Priority_Folloup", "Normal")</f>
        <v>Priority_Folloup</v>
      </c>
      <c r="F10" s="38"/>
      <c r="H10" s="15" t="s">
        <v>8</v>
      </c>
      <c r="I10" s="30">
        <v>90000</v>
      </c>
      <c r="J10" s="30">
        <v>100000</v>
      </c>
      <c r="K10" s="15">
        <v>4.5</v>
      </c>
      <c r="L10" s="11" t="str">
        <f t="shared" ref="L10:L12" si="1">IF(OR(I10&lt;J10,K10&lt;3),"Urgent_Folloup","Normal_Folloup")</f>
        <v>Urgent_Folloup</v>
      </c>
    </row>
    <row r="11" spans="1:12" x14ac:dyDescent="0.25">
      <c r="A11" s="34" t="s">
        <v>9</v>
      </c>
      <c r="B11" s="32">
        <v>90000</v>
      </c>
      <c r="C11" s="32">
        <v>100000</v>
      </c>
      <c r="D11" s="34">
        <v>4.5</v>
      </c>
      <c r="E11" t="str">
        <f t="shared" si="0"/>
        <v>Priority_Folloup</v>
      </c>
      <c r="F11" s="38"/>
      <c r="H11" s="15" t="s">
        <v>9</v>
      </c>
      <c r="I11" s="30">
        <v>120000</v>
      </c>
      <c r="J11" s="30">
        <v>100000</v>
      </c>
      <c r="K11" s="15">
        <v>2.5</v>
      </c>
      <c r="L11" s="11" t="str">
        <f t="shared" si="1"/>
        <v>Urgent_Folloup</v>
      </c>
    </row>
    <row r="12" spans="1:12" x14ac:dyDescent="0.25">
      <c r="A12" s="35" t="s">
        <v>10</v>
      </c>
      <c r="B12" s="33">
        <v>100000</v>
      </c>
      <c r="C12" s="33">
        <v>100000</v>
      </c>
      <c r="D12" s="35">
        <v>4</v>
      </c>
      <c r="E12" t="str">
        <f t="shared" si="0"/>
        <v>Normal</v>
      </c>
      <c r="F12" s="38"/>
      <c r="H12" s="15" t="s">
        <v>10</v>
      </c>
      <c r="I12" s="30">
        <v>90000</v>
      </c>
      <c r="J12" s="30">
        <v>100000</v>
      </c>
      <c r="K12" s="15">
        <v>2.5</v>
      </c>
      <c r="L12" s="11" t="str">
        <f t="shared" si="1"/>
        <v>Urgent_Folloup</v>
      </c>
    </row>
  </sheetData>
  <mergeCells count="2">
    <mergeCell ref="F1:F5"/>
    <mergeCell ref="F8:F1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I11" sqref="I11"/>
    </sheetView>
  </sheetViews>
  <sheetFormatPr defaultRowHeight="15" x14ac:dyDescent="0.25"/>
  <cols>
    <col min="1" max="1" width="16.28515625" bestFit="1" customWidth="1"/>
    <col min="2" max="2" width="10.140625" bestFit="1" customWidth="1"/>
    <col min="3" max="3" width="10.5703125" bestFit="1" customWidth="1"/>
    <col min="4" max="4" width="19.42578125" bestFit="1" customWidth="1"/>
  </cols>
  <sheetData>
    <row r="1" spans="1:5" x14ac:dyDescent="0.25">
      <c r="A1" s="3" t="s">
        <v>0</v>
      </c>
      <c r="B1" s="3" t="s">
        <v>1</v>
      </c>
      <c r="C1" s="3" t="s">
        <v>21</v>
      </c>
      <c r="D1" s="15" t="s">
        <v>22</v>
      </c>
    </row>
    <row r="2" spans="1:5" x14ac:dyDescent="0.25">
      <c r="A2" s="15" t="s">
        <v>7</v>
      </c>
      <c r="B2" s="30">
        <v>100000</v>
      </c>
      <c r="C2" s="15">
        <v>500</v>
      </c>
      <c r="D2" s="15">
        <f>Table9[[#This Row],[Sales]]/Table9[[#This Row],[Leads]]</f>
        <v>200</v>
      </c>
    </row>
    <row r="3" spans="1:5" x14ac:dyDescent="0.25">
      <c r="A3" s="15" t="s">
        <v>8</v>
      </c>
      <c r="B3" s="30">
        <v>80000</v>
      </c>
      <c r="C3" s="15">
        <v>400</v>
      </c>
      <c r="D3" s="15">
        <f>Table9[[#This Row],[Sales]]/Table9[[#This Row],[Leads]]</f>
        <v>200</v>
      </c>
    </row>
    <row r="4" spans="1:5" x14ac:dyDescent="0.25">
      <c r="A4" s="15" t="s">
        <v>9</v>
      </c>
      <c r="B4" s="30">
        <v>60000</v>
      </c>
      <c r="C4" s="15">
        <v>0</v>
      </c>
      <c r="D4" s="15" t="e">
        <f>Table9[[#This Row],[Sales]]/Table9[[#This Row],[Leads]]</f>
        <v>#DIV/0!</v>
      </c>
    </row>
    <row r="5" spans="1:5" x14ac:dyDescent="0.25">
      <c r="A5" s="15" t="s">
        <v>10</v>
      </c>
      <c r="B5" s="30">
        <v>120000</v>
      </c>
      <c r="C5" s="15">
        <v>600</v>
      </c>
      <c r="D5" s="15">
        <f>Table9[[#This Row],[Sales]]/Table9[[#This Row],[Leads]]</f>
        <v>200</v>
      </c>
    </row>
    <row r="8" spans="1:5" x14ac:dyDescent="0.25">
      <c r="A8" s="3" t="s">
        <v>0</v>
      </c>
      <c r="B8" s="3" t="s">
        <v>1</v>
      </c>
      <c r="C8" s="3" t="s">
        <v>21</v>
      </c>
      <c r="D8" s="15" t="s">
        <v>22</v>
      </c>
      <c r="E8" s="38" t="s">
        <v>23</v>
      </c>
    </row>
    <row r="9" spans="1:5" x14ac:dyDescent="0.25">
      <c r="A9" s="15" t="s">
        <v>7</v>
      </c>
      <c r="B9" s="30">
        <v>100000</v>
      </c>
      <c r="C9" s="15">
        <v>500</v>
      </c>
      <c r="D9" s="15">
        <f>IFERROR(Table911[[#This Row],[Sales]]/Table911[[#This Row],[Leads]], "No_Lead")</f>
        <v>200</v>
      </c>
      <c r="E9" s="38"/>
    </row>
    <row r="10" spans="1:5" x14ac:dyDescent="0.25">
      <c r="A10" s="15" t="s">
        <v>8</v>
      </c>
      <c r="B10" s="30">
        <v>80000</v>
      </c>
      <c r="C10" s="15">
        <v>400</v>
      </c>
      <c r="D10" s="15">
        <f>IFERROR(Table911[[#This Row],[Sales]]/Table911[[#This Row],[Leads]], "No_Lead")</f>
        <v>200</v>
      </c>
      <c r="E10" s="38"/>
    </row>
    <row r="11" spans="1:5" x14ac:dyDescent="0.25">
      <c r="A11" s="15" t="s">
        <v>9</v>
      </c>
      <c r="B11" s="30">
        <v>60000</v>
      </c>
      <c r="C11" s="15">
        <v>0</v>
      </c>
      <c r="D11" s="15" t="str">
        <f>IFERROR(Table911[[#This Row],[Sales]]/Table911[[#This Row],[Leads]], "No_Lead")</f>
        <v>No_Lead</v>
      </c>
      <c r="E11" s="38"/>
    </row>
    <row r="12" spans="1:5" x14ac:dyDescent="0.25">
      <c r="A12" s="15" t="s">
        <v>10</v>
      </c>
      <c r="B12" s="30">
        <v>120000</v>
      </c>
      <c r="C12" s="15">
        <v>600</v>
      </c>
      <c r="D12" s="15">
        <f>IFERROR(Table911[[#This Row],[Sales]]/Table911[[#This Row],[Leads]], "No_Lead")</f>
        <v>200</v>
      </c>
      <c r="E12" s="38"/>
    </row>
  </sheetData>
  <mergeCells count="1">
    <mergeCell ref="E8:E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4" sqref="F14"/>
    </sheetView>
  </sheetViews>
  <sheetFormatPr defaultRowHeight="15" x14ac:dyDescent="0.25"/>
  <cols>
    <col min="1" max="1" width="12.5703125" bestFit="1" customWidth="1"/>
    <col min="2" max="2" width="10.140625" bestFit="1" customWidth="1"/>
    <col min="5" max="5" width="8.7109375" customWidth="1"/>
    <col min="6" max="6" width="11.42578125" bestFit="1" customWidth="1"/>
  </cols>
  <sheetData>
    <row r="1" spans="1:6" x14ac:dyDescent="0.25">
      <c r="A1" s="2" t="s">
        <v>24</v>
      </c>
      <c r="B1" s="2" t="s">
        <v>1</v>
      </c>
    </row>
    <row r="2" spans="1:6" x14ac:dyDescent="0.25">
      <c r="A2" s="1" t="s">
        <v>25</v>
      </c>
      <c r="B2" s="13">
        <v>20000</v>
      </c>
    </row>
    <row r="3" spans="1:6" x14ac:dyDescent="0.25">
      <c r="A3" s="1" t="s">
        <v>26</v>
      </c>
      <c r="B3" s="13">
        <v>15000</v>
      </c>
      <c r="E3" s="29" t="s">
        <v>28</v>
      </c>
      <c r="F3" s="29"/>
    </row>
    <row r="4" spans="1:6" x14ac:dyDescent="0.25">
      <c r="A4" s="1" t="s">
        <v>25</v>
      </c>
      <c r="B4" s="13">
        <v>25000</v>
      </c>
      <c r="E4" s="40" t="s">
        <v>24</v>
      </c>
      <c r="F4" s="40" t="s">
        <v>29</v>
      </c>
    </row>
    <row r="5" spans="1:6" x14ac:dyDescent="0.25">
      <c r="A5" s="1" t="s">
        <v>27</v>
      </c>
      <c r="B5" s="13">
        <v>10000</v>
      </c>
      <c r="E5" s="40" t="s">
        <v>25</v>
      </c>
      <c r="F5" s="40">
        <f>SUMIF(A:A, E5, B:B)</f>
        <v>75000</v>
      </c>
    </row>
    <row r="6" spans="1:6" x14ac:dyDescent="0.25">
      <c r="A6" s="1" t="s">
        <v>25</v>
      </c>
      <c r="B6" s="13">
        <v>30000</v>
      </c>
      <c r="E6" s="40" t="s">
        <v>26</v>
      </c>
      <c r="F6" s="40">
        <f t="shared" ref="F6:F7" si="0">SUMIF(A:A, E6, B:B)</f>
        <v>33000</v>
      </c>
    </row>
    <row r="7" spans="1:6" x14ac:dyDescent="0.25">
      <c r="A7" s="1" t="s">
        <v>26</v>
      </c>
      <c r="B7" s="13">
        <v>18000</v>
      </c>
      <c r="E7" s="40" t="s">
        <v>27</v>
      </c>
      <c r="F7" s="40">
        <f t="shared" si="0"/>
        <v>10000</v>
      </c>
    </row>
  </sheetData>
  <mergeCells count="1">
    <mergeCell ref="E3:F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J16" sqref="J16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10.140625" bestFit="1" customWidth="1"/>
    <col min="6" max="6" width="27.42578125" bestFit="1" customWidth="1"/>
    <col min="9" max="9" width="8" customWidth="1"/>
    <col min="10" max="10" width="9.5703125" customWidth="1"/>
    <col min="11" max="11" width="6.5703125" customWidth="1"/>
    <col min="14" max="14" width="29.42578125" bestFit="1" customWidth="1"/>
  </cols>
  <sheetData>
    <row r="1" spans="1:15" x14ac:dyDescent="0.25">
      <c r="A1" s="3" t="s">
        <v>24</v>
      </c>
      <c r="B1" s="3" t="s">
        <v>30</v>
      </c>
      <c r="C1" s="3" t="s">
        <v>1</v>
      </c>
    </row>
    <row r="2" spans="1:15" x14ac:dyDescent="0.25">
      <c r="A2" s="15" t="s">
        <v>25</v>
      </c>
      <c r="B2" s="15" t="s">
        <v>31</v>
      </c>
      <c r="C2" s="30">
        <v>20000</v>
      </c>
      <c r="I2" s="3" t="s">
        <v>24</v>
      </c>
      <c r="J2" s="3" t="s">
        <v>30</v>
      </c>
      <c r="K2" s="3" t="s">
        <v>1</v>
      </c>
      <c r="N2" s="43" t="s">
        <v>34</v>
      </c>
      <c r="O2" s="40">
        <f>SUMIFS(K:K,I:I, "Kenya", J:J, "Loans")</f>
        <v>25000</v>
      </c>
    </row>
    <row r="3" spans="1:15" x14ac:dyDescent="0.25">
      <c r="A3" s="15" t="s">
        <v>25</v>
      </c>
      <c r="B3" s="15" t="s">
        <v>32</v>
      </c>
      <c r="C3" s="30">
        <v>15000</v>
      </c>
      <c r="I3" s="15" t="s">
        <v>25</v>
      </c>
      <c r="J3" s="15" t="s">
        <v>31</v>
      </c>
      <c r="K3" s="30">
        <v>20000</v>
      </c>
    </row>
    <row r="4" spans="1:15" x14ac:dyDescent="0.25">
      <c r="A4" s="15" t="s">
        <v>26</v>
      </c>
      <c r="B4" s="15" t="s">
        <v>31</v>
      </c>
      <c r="C4" s="30">
        <v>25000</v>
      </c>
      <c r="F4" s="42" t="s">
        <v>33</v>
      </c>
      <c r="I4" s="15" t="s">
        <v>25</v>
      </c>
      <c r="J4" s="15" t="s">
        <v>32</v>
      </c>
      <c r="K4" s="30">
        <v>15000</v>
      </c>
      <c r="N4" s="43" t="s">
        <v>35</v>
      </c>
      <c r="O4" s="40">
        <f>SUMIFS(K:K, I:I, "Nigeria", J:J, "Insurance")</f>
        <v>25000</v>
      </c>
    </row>
    <row r="5" spans="1:15" x14ac:dyDescent="0.25">
      <c r="A5" s="15" t="s">
        <v>25</v>
      </c>
      <c r="B5" s="15" t="s">
        <v>31</v>
      </c>
      <c r="C5" s="30">
        <v>30000</v>
      </c>
      <c r="F5" s="41">
        <f>SUMIFS(C:C, A:A, "Kenya", B:B, "Insurance")</f>
        <v>50000</v>
      </c>
      <c r="I5" s="15" t="s">
        <v>26</v>
      </c>
      <c r="J5" s="15" t="s">
        <v>31</v>
      </c>
      <c r="K5" s="30">
        <v>25000</v>
      </c>
    </row>
    <row r="6" spans="1:15" x14ac:dyDescent="0.25">
      <c r="A6" s="15" t="s">
        <v>26</v>
      </c>
      <c r="B6" s="15" t="s">
        <v>32</v>
      </c>
      <c r="C6" s="30">
        <v>18000</v>
      </c>
      <c r="I6" s="15" t="s">
        <v>25</v>
      </c>
      <c r="J6" s="15" t="s">
        <v>31</v>
      </c>
      <c r="K6" s="30">
        <v>30000</v>
      </c>
      <c r="N6" s="43" t="s">
        <v>36</v>
      </c>
      <c r="O6" s="40">
        <f>SUMIFS(K:K, I:I, "Kenya", J:J, "Insurance")</f>
        <v>50000</v>
      </c>
    </row>
    <row r="7" spans="1:15" x14ac:dyDescent="0.25">
      <c r="A7" s="15" t="s">
        <v>25</v>
      </c>
      <c r="B7" s="15" t="s">
        <v>32</v>
      </c>
      <c r="C7" s="30">
        <v>10000</v>
      </c>
      <c r="I7" s="15" t="s">
        <v>26</v>
      </c>
      <c r="J7" s="15" t="s">
        <v>32</v>
      </c>
      <c r="K7" s="30">
        <v>18000</v>
      </c>
    </row>
    <row r="8" spans="1:15" x14ac:dyDescent="0.25">
      <c r="I8" s="15" t="s">
        <v>25</v>
      </c>
      <c r="J8" s="15" t="s">
        <v>32</v>
      </c>
      <c r="K8" s="30">
        <v>10000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2" sqref="F2"/>
    </sheetView>
  </sheetViews>
  <sheetFormatPr defaultRowHeight="15" x14ac:dyDescent="0.25"/>
  <cols>
    <col min="1" max="1" width="13.85546875" customWidth="1"/>
    <col min="2" max="2" width="13.140625" bestFit="1" customWidth="1"/>
    <col min="5" max="5" width="38.28515625" bestFit="1" customWidth="1"/>
  </cols>
  <sheetData>
    <row r="1" spans="1:6" x14ac:dyDescent="0.25">
      <c r="A1" s="3" t="s">
        <v>0</v>
      </c>
      <c r="B1" s="3" t="s">
        <v>37</v>
      </c>
    </row>
    <row r="2" spans="1:6" x14ac:dyDescent="0.25">
      <c r="A2" s="5" t="s">
        <v>7</v>
      </c>
      <c r="B2" s="5" t="s">
        <v>38</v>
      </c>
      <c r="E2" s="43" t="s">
        <v>42</v>
      </c>
      <c r="F2" s="40">
        <f>COUNTIF(B:B, "Achieved")</f>
        <v>4</v>
      </c>
    </row>
    <row r="3" spans="1:6" x14ac:dyDescent="0.25">
      <c r="A3" s="5" t="s">
        <v>8</v>
      </c>
      <c r="B3" s="5" t="s">
        <v>39</v>
      </c>
    </row>
    <row r="4" spans="1:6" x14ac:dyDescent="0.25">
      <c r="A4" s="5" t="s">
        <v>9</v>
      </c>
      <c r="B4" s="5" t="s">
        <v>38</v>
      </c>
      <c r="E4" s="43" t="s">
        <v>43</v>
      </c>
      <c r="F4" s="40">
        <f>COUNTIF(B:B, "Not Achieved")</f>
        <v>2</v>
      </c>
    </row>
    <row r="5" spans="1:6" x14ac:dyDescent="0.25">
      <c r="A5" s="5" t="s">
        <v>10</v>
      </c>
      <c r="B5" s="5" t="s">
        <v>38</v>
      </c>
    </row>
    <row r="6" spans="1:6" x14ac:dyDescent="0.25">
      <c r="A6" s="5" t="s">
        <v>40</v>
      </c>
      <c r="B6" s="5" t="s">
        <v>39</v>
      </c>
    </row>
    <row r="7" spans="1:6" x14ac:dyDescent="0.25">
      <c r="A7" s="5" t="s">
        <v>41</v>
      </c>
      <c r="B7" s="5" t="s">
        <v>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C1" workbookViewId="0">
      <selection activeCell="I16" sqref="I16"/>
    </sheetView>
  </sheetViews>
  <sheetFormatPr defaultRowHeight="15" x14ac:dyDescent="0.25"/>
  <cols>
    <col min="1" max="1" width="10.140625" customWidth="1"/>
    <col min="2" max="2" width="10" customWidth="1"/>
    <col min="3" max="3" width="13.140625" bestFit="1" customWidth="1"/>
    <col min="6" max="6" width="48.85546875" bestFit="1" customWidth="1"/>
    <col min="9" max="9" width="10.140625" customWidth="1"/>
    <col min="10" max="10" width="10" customWidth="1"/>
    <col min="11" max="11" width="13.140625" bestFit="1" customWidth="1"/>
    <col min="13" max="13" width="28.7109375" bestFit="1" customWidth="1"/>
  </cols>
  <sheetData>
    <row r="1" spans="1:14" x14ac:dyDescent="0.25">
      <c r="A1" s="3" t="s">
        <v>24</v>
      </c>
      <c r="B1" s="3" t="s">
        <v>30</v>
      </c>
      <c r="C1" s="3" t="s">
        <v>37</v>
      </c>
      <c r="I1" s="3" t="s">
        <v>24</v>
      </c>
      <c r="J1" s="3" t="s">
        <v>30</v>
      </c>
      <c r="K1" s="3" t="s">
        <v>37</v>
      </c>
    </row>
    <row r="2" spans="1:14" x14ac:dyDescent="0.25">
      <c r="A2" s="5" t="s">
        <v>25</v>
      </c>
      <c r="B2" s="5" t="s">
        <v>31</v>
      </c>
      <c r="C2" s="5" t="s">
        <v>38</v>
      </c>
      <c r="I2" s="5" t="s">
        <v>25</v>
      </c>
      <c r="J2" s="5" t="s">
        <v>31</v>
      </c>
      <c r="K2" s="5" t="s">
        <v>38</v>
      </c>
      <c r="M2" s="43" t="s">
        <v>45</v>
      </c>
      <c r="N2" s="40">
        <f>M14</f>
        <v>0</v>
      </c>
    </row>
    <row r="3" spans="1:14" x14ac:dyDescent="0.25">
      <c r="A3" s="5" t="s">
        <v>25</v>
      </c>
      <c r="B3" s="5" t="s">
        <v>32</v>
      </c>
      <c r="C3" s="5" t="s">
        <v>39</v>
      </c>
      <c r="F3" s="43" t="s">
        <v>44</v>
      </c>
      <c r="G3" s="40">
        <f>COUNTIFS(A:A, "Kenya", B:B, "Insurance", C:C, "Achieved")</f>
        <v>2</v>
      </c>
      <c r="I3" s="5" t="s">
        <v>25</v>
      </c>
      <c r="J3" s="5" t="s">
        <v>32</v>
      </c>
      <c r="K3" s="5" t="s">
        <v>39</v>
      </c>
    </row>
    <row r="4" spans="1:14" x14ac:dyDescent="0.25">
      <c r="A4" s="5" t="s">
        <v>26</v>
      </c>
      <c r="B4" s="5" t="s">
        <v>31</v>
      </c>
      <c r="C4" s="5" t="s">
        <v>38</v>
      </c>
      <c r="I4" s="5" t="s">
        <v>26</v>
      </c>
      <c r="J4" s="5" t="s">
        <v>31</v>
      </c>
      <c r="K4" s="5" t="s">
        <v>38</v>
      </c>
      <c r="M4" s="43" t="s">
        <v>46</v>
      </c>
      <c r="N4" s="40">
        <f>COUNTIFS(I:I, "Nigeria", J:J, "Loans", K:K, "Not Achieved")</f>
        <v>1</v>
      </c>
    </row>
    <row r="5" spans="1:14" x14ac:dyDescent="0.25">
      <c r="A5" s="5" t="s">
        <v>25</v>
      </c>
      <c r="B5" s="5" t="s">
        <v>31</v>
      </c>
      <c r="C5" s="5" t="s">
        <v>38</v>
      </c>
      <c r="I5" s="5" t="s">
        <v>25</v>
      </c>
      <c r="J5" s="5" t="s">
        <v>31</v>
      </c>
      <c r="K5" s="5" t="s">
        <v>38</v>
      </c>
    </row>
    <row r="6" spans="1:14" x14ac:dyDescent="0.25">
      <c r="A6" s="5" t="s">
        <v>26</v>
      </c>
      <c r="B6" s="5" t="s">
        <v>32</v>
      </c>
      <c r="C6" s="5" t="s">
        <v>39</v>
      </c>
      <c r="I6" s="5" t="s">
        <v>26</v>
      </c>
      <c r="J6" s="5" t="s">
        <v>32</v>
      </c>
      <c r="K6" s="5" t="s">
        <v>39</v>
      </c>
      <c r="M6" s="43" t="s">
        <v>47</v>
      </c>
      <c r="N6" s="40">
        <f>COUNTIFS(I:I, "Kenya", J:J, "Insurance", K:K, "Achieved")</f>
        <v>2</v>
      </c>
    </row>
    <row r="7" spans="1:14" x14ac:dyDescent="0.25">
      <c r="A7" s="5" t="s">
        <v>25</v>
      </c>
      <c r="B7" s="5" t="s">
        <v>32</v>
      </c>
      <c r="C7" s="5" t="s">
        <v>38</v>
      </c>
      <c r="I7" s="5" t="s">
        <v>25</v>
      </c>
      <c r="J7" s="5" t="s">
        <v>32</v>
      </c>
      <c r="K7" s="5" t="s">
        <v>38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IF_ELSE_Condition</vt:lpstr>
      <vt:lpstr>AND_OR_Condition</vt:lpstr>
      <vt:lpstr>IF_ERROR_Function</vt:lpstr>
      <vt:lpstr>SUM_IF_Formula</vt:lpstr>
      <vt:lpstr>SUM_IFS_Formula</vt:lpstr>
      <vt:lpstr>COUNT_IF_Formula</vt:lpstr>
      <vt:lpstr>COUNT_IFS_Formula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2026-10-01T08:31:34Z</dcterms:created>
  <dcterms:modified xsi:type="dcterms:W3CDTF">2026-10-01T11:03:24Z</dcterms:modified>
</cp:coreProperties>
</file>