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1\"/>
    </mc:Choice>
  </mc:AlternateContent>
  <bookViews>
    <workbookView xWindow="0" yWindow="0" windowWidth="20490" windowHeight="6900"/>
  </bookViews>
  <sheets>
    <sheet name="Raw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8" i="1"/>
  <c r="M7" i="1"/>
  <c r="M9" i="1"/>
  <c r="M10" i="1"/>
  <c r="M11" i="1"/>
  <c r="J14" i="1"/>
  <c r="I14" i="1"/>
  <c r="L14" i="1" s="1"/>
  <c r="K12" i="1"/>
  <c r="L9" i="1"/>
  <c r="L7" i="1"/>
  <c r="L8" i="1"/>
  <c r="L6" i="1"/>
  <c r="L4" i="1"/>
  <c r="L11" i="1"/>
  <c r="L5" i="1"/>
  <c r="L10" i="1"/>
  <c r="L3" i="1"/>
  <c r="L2" i="1"/>
  <c r="L12" i="1" l="1"/>
</calcChain>
</file>

<file path=xl/sharedStrings.xml><?xml version="1.0" encoding="utf-8"?>
<sst xmlns="http://schemas.openxmlformats.org/spreadsheetml/2006/main" count="86" uniqueCount="65">
  <si>
    <t>Booking_ID</t>
  </si>
  <si>
    <t>Booking_Date</t>
  </si>
  <si>
    <t>Country</t>
  </si>
  <si>
    <t>Branch</t>
  </si>
  <si>
    <t>Salesperson</t>
  </si>
  <si>
    <t>Product</t>
  </si>
  <si>
    <t>Customer</t>
  </si>
  <si>
    <t>Pax</t>
  </si>
  <si>
    <t>Sales_Amount</t>
  </si>
  <si>
    <t>Target_Amount</t>
  </si>
  <si>
    <t>Status</t>
  </si>
  <si>
    <t>B001</t>
  </si>
  <si>
    <t>Kenya</t>
  </si>
  <si>
    <t>Nairobi</t>
  </si>
  <si>
    <t>SP001</t>
  </si>
  <si>
    <t>Product A</t>
  </si>
  <si>
    <t>Customer 01</t>
  </si>
  <si>
    <t>Confirmed</t>
  </si>
  <si>
    <t>B002</t>
  </si>
  <si>
    <t>Ghana</t>
  </si>
  <si>
    <t>Accra</t>
  </si>
  <si>
    <t>SP002</t>
  </si>
  <si>
    <t>Product B</t>
  </si>
  <si>
    <t>Customer 02</t>
  </si>
  <si>
    <t>B003</t>
  </si>
  <si>
    <t>Nigeria</t>
  </si>
  <si>
    <t>Lagos</t>
  </si>
  <si>
    <t>SP003</t>
  </si>
  <si>
    <t>Customer 03</t>
  </si>
  <si>
    <t>Pending</t>
  </si>
  <si>
    <t>B004</t>
  </si>
  <si>
    <t>Mombasa</t>
  </si>
  <si>
    <t>SP004</t>
  </si>
  <si>
    <t>Product C</t>
  </si>
  <si>
    <t>Customer 04</t>
  </si>
  <si>
    <t>B005</t>
  </si>
  <si>
    <t>Tanzania</t>
  </si>
  <si>
    <t>Arusha</t>
  </si>
  <si>
    <t>SP005</t>
  </si>
  <si>
    <t>Customer 05</t>
  </si>
  <si>
    <t>B006</t>
  </si>
  <si>
    <t>Uganda</t>
  </si>
  <si>
    <t>Kampala</t>
  </si>
  <si>
    <t>SP006</t>
  </si>
  <si>
    <t>Customer 06</t>
  </si>
  <si>
    <t>B007</t>
  </si>
  <si>
    <t>Kumasi</t>
  </si>
  <si>
    <t>SP007</t>
  </si>
  <si>
    <t>Customer 07</t>
  </si>
  <si>
    <t>B008</t>
  </si>
  <si>
    <t>Abuja</t>
  </si>
  <si>
    <t>SP008</t>
  </si>
  <si>
    <t>Customer 08</t>
  </si>
  <si>
    <t>Cancelled</t>
  </si>
  <si>
    <t>B009</t>
  </si>
  <si>
    <t>Customer 09</t>
  </si>
  <si>
    <t>B010</t>
  </si>
  <si>
    <t>Dar es Salaam</t>
  </si>
  <si>
    <t>SP009</t>
  </si>
  <si>
    <t>Customer 10</t>
  </si>
  <si>
    <t>Total</t>
  </si>
  <si>
    <t>Achievement_%</t>
  </si>
  <si>
    <t>Variance</t>
  </si>
  <si>
    <t>Total_Target_Amount</t>
  </si>
  <si>
    <t>Total_Sales_Amount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</si>
</sst>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15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/>
    <xf numFmtId="10" fontId="0" fillId="0" borderId="0" xfId="0" applyNumberFormat="1" applyAlignment="1">
      <alignment horizontal="right" vertical="center"/>
    </xf>
    <xf numFmtId="10" fontId="0" fillId="0" borderId="0" xfId="0" applyNumberFormat="1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30">
    <dxf>
      <numFmt numFmtId="0" formatCode="General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4" formatCode="0.00%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0" formatCode="dd/mmm/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0" formatCode="dd/mmm/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sales" displayName="tbl_sales" ref="A1:M12" totalsRowCount="1" headerRowDxfId="18" dataDxfId="19">
  <autoFilter ref="A1:M12"/>
  <sortState ref="A2:M11">
    <sortCondition descending="1" ref="M1:M12"/>
  </sortState>
  <tableColumns count="13">
    <tableColumn id="1" name="Booking_ID" totalsRowLabel="Total" dataDxfId="29" totalsRowDxfId="13"/>
    <tableColumn id="2" name="Booking_Date" dataDxfId="28" totalsRowDxfId="12"/>
    <tableColumn id="3" name="Country" dataDxfId="27" totalsRowDxfId="11"/>
    <tableColumn id="4" name="Branch" dataDxfId="26" totalsRowDxfId="10"/>
    <tableColumn id="5" name="Salesperson" dataDxfId="25" totalsRowDxfId="9"/>
    <tableColumn id="6" name="Product" dataDxfId="24" totalsRowDxfId="8"/>
    <tableColumn id="7" name="Customer" dataDxfId="23" totalsRowDxfId="7"/>
    <tableColumn id="8" name="Pax" dataDxfId="22" totalsRowDxfId="6"/>
    <tableColumn id="9" name="Sales_Amount" dataDxfId="21" totalsRowDxfId="5"/>
    <tableColumn id="10" name="Target_Amount" dataDxfId="20" totalsRowDxfId="4"/>
    <tableColumn id="11" name="Status" totalsRowFunction="count" dataDxfId="17" totalsRowDxfId="3"/>
    <tableColumn id="12" name="Achievement_%" totalsRowFunction="custom" dataDxfId="16" totalsRowDxfId="2">
      <calculatedColumnFormula>tbl_sales[[#This Row],[Sales_Amount]]/tbl_sales[[#This Row],[Target_Amount]]</calculatedColumnFormula>
      <totalsRowFormula>AVERAGE(tbl_sales[Achievement_%])</totalsRowFormula>
    </tableColumn>
    <tableColumn id="13" name="Variance" dataDxfId="0" totalsRowDxfId="1">
      <calculatedColumnFormula>tbl_sales[[#This Row],[Sales_Amount]]-tbl_sales[[#This Row],[Target_Amount]]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F14" sqref="F14"/>
    </sheetView>
  </sheetViews>
  <sheetFormatPr defaultRowHeight="15" x14ac:dyDescent="0.25"/>
  <cols>
    <col min="1" max="1" width="13.28515625" style="2" customWidth="1"/>
    <col min="2" max="2" width="15.7109375" customWidth="1"/>
    <col min="3" max="3" width="10.28515625" customWidth="1"/>
    <col min="4" max="4" width="13.28515625" bestFit="1" customWidth="1"/>
    <col min="5" max="5" width="14" customWidth="1"/>
    <col min="6" max="6" width="10.140625" customWidth="1"/>
    <col min="7" max="7" width="12" bestFit="1" customWidth="1"/>
    <col min="8" max="8" width="6.42578125" customWidth="1"/>
    <col min="9" max="9" width="19.28515625" customWidth="1"/>
    <col min="10" max="10" width="20.7109375" customWidth="1"/>
    <col min="11" max="11" width="10.42578125" bestFit="1" customWidth="1"/>
    <col min="12" max="12" width="17.85546875" style="8" bestFit="1" customWidth="1"/>
    <col min="13" max="13" width="11" bestFit="1" customWidth="1"/>
  </cols>
  <sheetData>
    <row r="1" spans="1:13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61</v>
      </c>
      <c r="M1" s="5" t="s">
        <v>62</v>
      </c>
    </row>
    <row r="2" spans="1:13" x14ac:dyDescent="0.25">
      <c r="A2" s="1" t="s">
        <v>56</v>
      </c>
      <c r="B2" s="3">
        <v>46300</v>
      </c>
      <c r="C2" s="1" t="s">
        <v>36</v>
      </c>
      <c r="D2" s="1" t="s">
        <v>57</v>
      </c>
      <c r="E2" s="1" t="s">
        <v>58</v>
      </c>
      <c r="F2" s="1" t="s">
        <v>33</v>
      </c>
      <c r="G2" s="1" t="s">
        <v>59</v>
      </c>
      <c r="H2" s="4">
        <v>7</v>
      </c>
      <c r="I2" s="4">
        <v>8200</v>
      </c>
      <c r="J2" s="4">
        <v>7500</v>
      </c>
      <c r="K2" s="1" t="s">
        <v>17</v>
      </c>
      <c r="L2" s="7">
        <f>tbl_sales[[#This Row],[Sales_Amount]]/tbl_sales[[#This Row],[Target_Amount]]</f>
        <v>1.0933333333333333</v>
      </c>
      <c r="M2" s="4">
        <f>tbl_sales[[#This Row],[Sales_Amount]]-tbl_sales[[#This Row],[Target_Amount]]</f>
        <v>700</v>
      </c>
    </row>
    <row r="3" spans="1:13" x14ac:dyDescent="0.25">
      <c r="A3" s="1" t="s">
        <v>54</v>
      </c>
      <c r="B3" s="3">
        <v>46300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55</v>
      </c>
      <c r="H3" s="4">
        <v>5</v>
      </c>
      <c r="I3" s="4">
        <v>6500</v>
      </c>
      <c r="J3" s="4">
        <v>6000</v>
      </c>
      <c r="K3" s="1" t="s">
        <v>17</v>
      </c>
      <c r="L3" s="7">
        <f>tbl_sales[[#This Row],[Sales_Amount]]/tbl_sales[[#This Row],[Target_Amount]]</f>
        <v>1.0833333333333333</v>
      </c>
      <c r="M3" s="4">
        <f>tbl_sales[[#This Row],[Sales_Amount]]-tbl_sales[[#This Row],[Target_Amount]]</f>
        <v>500</v>
      </c>
    </row>
    <row r="4" spans="1:13" x14ac:dyDescent="0.25">
      <c r="A4" s="1" t="s">
        <v>35</v>
      </c>
      <c r="B4" s="3">
        <v>46298</v>
      </c>
      <c r="C4" s="1" t="s">
        <v>36</v>
      </c>
      <c r="D4" s="1" t="s">
        <v>37</v>
      </c>
      <c r="E4" s="1" t="s">
        <v>38</v>
      </c>
      <c r="F4" s="1" t="s">
        <v>22</v>
      </c>
      <c r="G4" s="1" t="s">
        <v>39</v>
      </c>
      <c r="H4" s="4">
        <v>6</v>
      </c>
      <c r="I4" s="4">
        <v>7400</v>
      </c>
      <c r="J4" s="4">
        <v>7000</v>
      </c>
      <c r="K4" s="1" t="s">
        <v>17</v>
      </c>
      <c r="L4" s="7">
        <f>tbl_sales[[#This Row],[Sales_Amount]]/tbl_sales[[#This Row],[Target_Amount]]</f>
        <v>1.0571428571428572</v>
      </c>
      <c r="M4" s="4">
        <f>tbl_sales[[#This Row],[Sales_Amount]]-tbl_sales[[#This Row],[Target_Amount]]</f>
        <v>400</v>
      </c>
    </row>
    <row r="5" spans="1:13" x14ac:dyDescent="0.25">
      <c r="A5" s="1" t="s">
        <v>45</v>
      </c>
      <c r="B5" s="3">
        <v>46299</v>
      </c>
      <c r="C5" s="1" t="s">
        <v>19</v>
      </c>
      <c r="D5" s="1" t="s">
        <v>46</v>
      </c>
      <c r="E5" s="1" t="s">
        <v>47</v>
      </c>
      <c r="F5" s="1" t="s">
        <v>33</v>
      </c>
      <c r="G5" s="1" t="s">
        <v>48</v>
      </c>
      <c r="H5" s="4">
        <v>4</v>
      </c>
      <c r="I5" s="4">
        <v>5100</v>
      </c>
      <c r="J5" s="4">
        <v>5000</v>
      </c>
      <c r="K5" s="1" t="s">
        <v>17</v>
      </c>
      <c r="L5" s="7">
        <f>tbl_sales[[#This Row],[Sales_Amount]]/tbl_sales[[#This Row],[Target_Amount]]</f>
        <v>1.02</v>
      </c>
      <c r="M5" s="4">
        <f>tbl_sales[[#This Row],[Sales_Amount]]-tbl_sales[[#This Row],[Target_Amount]]</f>
        <v>100</v>
      </c>
    </row>
    <row r="6" spans="1:13" x14ac:dyDescent="0.25">
      <c r="A6" s="1" t="s">
        <v>30</v>
      </c>
      <c r="B6" s="3">
        <v>46297</v>
      </c>
      <c r="C6" s="1" t="s">
        <v>12</v>
      </c>
      <c r="D6" s="1" t="s">
        <v>31</v>
      </c>
      <c r="E6" s="1" t="s">
        <v>32</v>
      </c>
      <c r="F6" s="1" t="s">
        <v>33</v>
      </c>
      <c r="G6" s="1" t="s">
        <v>34</v>
      </c>
      <c r="H6" s="4">
        <v>3</v>
      </c>
      <c r="I6" s="4">
        <v>4200</v>
      </c>
      <c r="J6" s="4">
        <v>4500</v>
      </c>
      <c r="K6" s="1" t="s">
        <v>17</v>
      </c>
      <c r="L6" s="7">
        <f>tbl_sales[[#This Row],[Sales_Amount]]/tbl_sales[[#This Row],[Target_Amount]]</f>
        <v>0.93333333333333335</v>
      </c>
      <c r="M6" s="4">
        <f>tbl_sales[[#This Row],[Sales_Amount]]-tbl_sales[[#This Row],[Target_Amount]]</f>
        <v>-300</v>
      </c>
    </row>
    <row r="7" spans="1:13" x14ac:dyDescent="0.25">
      <c r="A7" s="1" t="s">
        <v>18</v>
      </c>
      <c r="B7" s="3">
        <v>46296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4">
        <v>2</v>
      </c>
      <c r="I7" s="4">
        <v>3100</v>
      </c>
      <c r="J7" s="4">
        <v>3500</v>
      </c>
      <c r="K7" s="1" t="s">
        <v>17</v>
      </c>
      <c r="L7" s="7">
        <f>tbl_sales[[#This Row],[Sales_Amount]]/tbl_sales[[#This Row],[Target_Amount]]</f>
        <v>0.88571428571428568</v>
      </c>
      <c r="M7" s="4">
        <f>tbl_sales[[#This Row],[Sales_Amount]]-tbl_sales[[#This Row],[Target_Amount]]</f>
        <v>-400</v>
      </c>
    </row>
    <row r="8" spans="1:13" x14ac:dyDescent="0.25">
      <c r="A8" s="1" t="s">
        <v>24</v>
      </c>
      <c r="B8" s="3">
        <v>46297</v>
      </c>
      <c r="C8" s="1" t="s">
        <v>25</v>
      </c>
      <c r="D8" s="1" t="s">
        <v>26</v>
      </c>
      <c r="E8" s="1" t="s">
        <v>27</v>
      </c>
      <c r="F8" s="1" t="s">
        <v>15</v>
      </c>
      <c r="G8" s="1" t="s">
        <v>28</v>
      </c>
      <c r="H8" s="4">
        <v>5</v>
      </c>
      <c r="I8" s="4">
        <v>6800</v>
      </c>
      <c r="J8" s="4">
        <v>7500</v>
      </c>
      <c r="K8" s="1" t="s">
        <v>29</v>
      </c>
      <c r="L8" s="7">
        <f>tbl_sales[[#This Row],[Sales_Amount]]/tbl_sales[[#This Row],[Target_Amount]]</f>
        <v>0.90666666666666662</v>
      </c>
      <c r="M8" s="4">
        <f>tbl_sales[[#This Row],[Sales_Amount]]-tbl_sales[[#This Row],[Target_Amount]]</f>
        <v>-700</v>
      </c>
    </row>
    <row r="9" spans="1:13" x14ac:dyDescent="0.25">
      <c r="A9" s="1" t="s">
        <v>11</v>
      </c>
      <c r="B9" s="3">
        <v>46296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16</v>
      </c>
      <c r="H9" s="4">
        <v>4</v>
      </c>
      <c r="I9" s="4">
        <v>5200</v>
      </c>
      <c r="J9" s="4">
        <v>6000</v>
      </c>
      <c r="K9" s="1" t="s">
        <v>17</v>
      </c>
      <c r="L9" s="7">
        <f>tbl_sales[[#This Row],[Sales_Amount]]/tbl_sales[[#This Row],[Target_Amount]]</f>
        <v>0.8666666666666667</v>
      </c>
      <c r="M9" s="4">
        <f>tbl_sales[[#This Row],[Sales_Amount]]-tbl_sales[[#This Row],[Target_Amount]]</f>
        <v>-800</v>
      </c>
    </row>
    <row r="10" spans="1:13" x14ac:dyDescent="0.25">
      <c r="A10" s="1" t="s">
        <v>49</v>
      </c>
      <c r="B10" s="3">
        <v>46299</v>
      </c>
      <c r="C10" s="1" t="s">
        <v>25</v>
      </c>
      <c r="D10" s="1" t="s">
        <v>50</v>
      </c>
      <c r="E10" s="1" t="s">
        <v>51</v>
      </c>
      <c r="F10" s="1" t="s">
        <v>22</v>
      </c>
      <c r="G10" s="1" t="s">
        <v>52</v>
      </c>
      <c r="H10" s="4">
        <v>3</v>
      </c>
      <c r="I10" s="4">
        <v>3900</v>
      </c>
      <c r="J10" s="4">
        <v>5000</v>
      </c>
      <c r="K10" s="1" t="s">
        <v>53</v>
      </c>
      <c r="L10" s="7">
        <f>tbl_sales[[#This Row],[Sales_Amount]]/tbl_sales[[#This Row],[Target_Amount]]</f>
        <v>0.78</v>
      </c>
      <c r="M10" s="4">
        <f>tbl_sales[[#This Row],[Sales_Amount]]-tbl_sales[[#This Row],[Target_Amount]]</f>
        <v>-1100</v>
      </c>
    </row>
    <row r="11" spans="1:13" x14ac:dyDescent="0.25">
      <c r="A11" s="1" t="s">
        <v>40</v>
      </c>
      <c r="B11" s="3">
        <v>46298</v>
      </c>
      <c r="C11" s="1" t="s">
        <v>41</v>
      </c>
      <c r="D11" s="1" t="s">
        <v>42</v>
      </c>
      <c r="E11" s="1" t="s">
        <v>43</v>
      </c>
      <c r="F11" s="1" t="s">
        <v>15</v>
      </c>
      <c r="G11" s="1" t="s">
        <v>44</v>
      </c>
      <c r="H11" s="4">
        <v>2</v>
      </c>
      <c r="I11" s="4">
        <v>2800</v>
      </c>
      <c r="J11" s="4">
        <v>4000</v>
      </c>
      <c r="K11" s="1" t="s">
        <v>29</v>
      </c>
      <c r="L11" s="7">
        <f>tbl_sales[[#This Row],[Sales_Amount]]/tbl_sales[[#This Row],[Target_Amount]]</f>
        <v>0.7</v>
      </c>
      <c r="M11" s="4">
        <f>tbl_sales[[#This Row],[Sales_Amount]]-tbl_sales[[#This Row],[Target_Amount]]</f>
        <v>-1200</v>
      </c>
    </row>
    <row r="12" spans="1:13" x14ac:dyDescent="0.25">
      <c r="A12" s="1" t="s">
        <v>60</v>
      </c>
      <c r="B12" s="3"/>
      <c r="C12" s="1"/>
      <c r="D12" s="1"/>
      <c r="E12" s="1"/>
      <c r="F12" s="1"/>
      <c r="G12" s="1"/>
      <c r="H12" s="4"/>
      <c r="I12" s="4"/>
      <c r="J12" s="4"/>
      <c r="K12" s="1">
        <f>SUBTOTAL(103,tbl_sales[Status])</f>
        <v>10</v>
      </c>
      <c r="L12" s="7">
        <f>AVERAGE(tbl_sales[Achievement_%])</f>
        <v>0.93261904761904757</v>
      </c>
      <c r="M12" s="4"/>
    </row>
    <row r="13" spans="1:13" x14ac:dyDescent="0.25">
      <c r="I13" t="s">
        <v>64</v>
      </c>
      <c r="J13" t="s">
        <v>63</v>
      </c>
    </row>
    <row r="14" spans="1:13" x14ac:dyDescent="0.25">
      <c r="I14" s="9">
        <f>SUM(tbl_sales[Sales_Amount])</f>
        <v>53200</v>
      </c>
      <c r="J14" s="9">
        <f>SUM(tbl_sales[Target_Amount])</f>
        <v>56000</v>
      </c>
      <c r="K14" s="9"/>
      <c r="L14" s="10">
        <f>I14/J14</f>
        <v>0.95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2026-09-29T10:26:07Z</dcterms:created>
  <dcterms:modified xsi:type="dcterms:W3CDTF">2026-09-29T14:17:34Z</dcterms:modified>
</cp:coreProperties>
</file>