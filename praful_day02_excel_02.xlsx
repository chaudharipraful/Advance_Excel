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2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D13" i="1"/>
  <c r="E10" i="1"/>
  <c r="D10" i="1"/>
  <c r="F13" i="1"/>
  <c r="F10" i="1"/>
  <c r="G2" i="1"/>
  <c r="G3" i="1"/>
  <c r="G4" i="1"/>
  <c r="G5" i="1"/>
  <c r="G6" i="1"/>
  <c r="G7" i="1"/>
  <c r="F2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<sst xmlns="http://schemas.openxmlformats.org/spreadsheetml/2006/main" count="31" uniqueCount="28">
  <si>
    <t>Booking</t>
  </si>
  <si>
    <t>Country</t>
  </si>
  <si>
    <t>Salesperson</t>
  </si>
  <si>
    <t>Sales</t>
  </si>
  <si>
    <t>Target</t>
  </si>
  <si>
    <t>B001</t>
  </si>
  <si>
    <t>Tanzania</t>
  </si>
  <si>
    <t>John</t>
  </si>
  <si>
    <t>B002</t>
  </si>
  <si>
    <t>Nigeria</t>
  </si>
  <si>
    <t>David</t>
  </si>
  <si>
    <t>B003</t>
  </si>
  <si>
    <t>Kenya</t>
  </si>
  <si>
    <t>Sarah</t>
  </si>
  <si>
    <t>B004</t>
  </si>
  <si>
    <t>Peter</t>
  </si>
  <si>
    <t>B005</t>
  </si>
  <si>
    <t>Mary</t>
  </si>
  <si>
    <t>B006</t>
  </si>
  <si>
    <t>James</t>
  </si>
  <si>
    <t>Achievement_%</t>
  </si>
  <si>
    <t>Variance</t>
  </si>
  <si>
    <t>Highest_Achievement</t>
  </si>
  <si>
    <t>Lowest_Achievement</t>
  </si>
  <si>
    <t>Total_Sales</t>
  </si>
  <si>
    <t>Total_Target</t>
  </si>
  <si>
    <t>Overall_Achievement</t>
  </si>
  <si>
    <t>Total_Variance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</si>
</sst>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168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vertical="center"/>
    </xf>
    <xf numFmtId="168" fontId="0" fillId="0" borderId="0" xfId="0" applyNumberFormat="1"/>
    <xf numFmtId="0" fontId="1" fillId="0" borderId="1" xfId="0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9">
    <dxf>
      <numFmt numFmtId="168" formatCode="0.0%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7" totalsRowShown="0" headerRowDxfId="3" dataDxfId="4">
  <autoFilter ref="A1:G7"/>
  <tableColumns count="7">
    <tableColumn id="1" name="Booking" dataDxfId="8"/>
    <tableColumn id="2" name="Country" dataDxfId="7"/>
    <tableColumn id="3" name="Salesperson" dataDxfId="6"/>
    <tableColumn id="4" name="Sales" dataDxfId="5"/>
    <tableColumn id="5" name="Target" dataDxfId="2"/>
    <tableColumn id="6" name="Achievement_%" dataDxfId="0">
      <calculatedColumnFormula>Table1[[#This Row],[Sales]]/Table1[[#This Row],[Target]]</calculatedColumnFormula>
    </tableColumn>
    <tableColumn id="7" name="Variance" dataDxfId="1">
      <calculatedColumnFormula>Table1[[#This Row],[Sales]]-Table1[[#This Row],[Target]]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J6" sqref="J6"/>
    </sheetView>
  </sheetViews>
  <sheetFormatPr defaultRowHeight="15" x14ac:dyDescent="0.25"/>
  <cols>
    <col min="1" max="1" width="12.7109375" bestFit="1" customWidth="1"/>
    <col min="2" max="2" width="12.5703125" bestFit="1" customWidth="1"/>
    <col min="3" max="3" width="16.28515625" bestFit="1" customWidth="1"/>
    <col min="4" max="4" width="20.5703125" bestFit="1" customWidth="1"/>
    <col min="5" max="5" width="12.140625" customWidth="1"/>
    <col min="6" max="6" width="20.85546875" style="7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5" t="s">
        <v>20</v>
      </c>
      <c r="G1" s="1" t="s">
        <v>21</v>
      </c>
    </row>
    <row r="2" spans="1:7" x14ac:dyDescent="0.25">
      <c r="A2" s="3" t="s">
        <v>5</v>
      </c>
      <c r="B2" s="3" t="s">
        <v>6</v>
      </c>
      <c r="C2" s="3" t="s">
        <v>7</v>
      </c>
      <c r="D2" s="4">
        <v>8000</v>
      </c>
      <c r="E2" s="4">
        <v>10000</v>
      </c>
      <c r="F2" s="6">
        <f>Table1[[#This Row],[Sales]]/Table1[[#This Row],[Target]]</f>
        <v>0.8</v>
      </c>
      <c r="G2" s="3">
        <f>Table1[[#This Row],[Sales]]-Table1[[#This Row],[Target]]</f>
        <v>-2000</v>
      </c>
    </row>
    <row r="3" spans="1:7" x14ac:dyDescent="0.25">
      <c r="A3" s="3" t="s">
        <v>8</v>
      </c>
      <c r="B3" s="3" t="s">
        <v>9</v>
      </c>
      <c r="C3" s="3" t="s">
        <v>10</v>
      </c>
      <c r="D3" s="4">
        <v>12000</v>
      </c>
      <c r="E3" s="4">
        <v>10000</v>
      </c>
      <c r="F3" s="6">
        <f>Table1[[#This Row],[Sales]]/Table1[[#This Row],[Target]]</f>
        <v>1.2</v>
      </c>
      <c r="G3" s="3">
        <f>Table1[[#This Row],[Sales]]-Table1[[#This Row],[Target]]</f>
        <v>2000</v>
      </c>
    </row>
    <row r="4" spans="1:7" x14ac:dyDescent="0.25">
      <c r="A4" s="3" t="s">
        <v>11</v>
      </c>
      <c r="B4" s="3" t="s">
        <v>12</v>
      </c>
      <c r="C4" s="3" t="s">
        <v>13</v>
      </c>
      <c r="D4" s="4">
        <v>9000</v>
      </c>
      <c r="E4" s="4">
        <v>10000</v>
      </c>
      <c r="F4" s="6">
        <f>Table1[[#This Row],[Sales]]/Table1[[#This Row],[Target]]</f>
        <v>0.9</v>
      </c>
      <c r="G4" s="3">
        <f>Table1[[#This Row],[Sales]]-Table1[[#This Row],[Target]]</f>
        <v>-1000</v>
      </c>
    </row>
    <row r="5" spans="1:7" x14ac:dyDescent="0.25">
      <c r="A5" s="3" t="s">
        <v>14</v>
      </c>
      <c r="B5" s="3" t="s">
        <v>6</v>
      </c>
      <c r="C5" s="3" t="s">
        <v>15</v>
      </c>
      <c r="D5" s="4">
        <v>11000</v>
      </c>
      <c r="E5" s="4">
        <v>10000</v>
      </c>
      <c r="F5" s="6">
        <f>Table1[[#This Row],[Sales]]/Table1[[#This Row],[Target]]</f>
        <v>1.1000000000000001</v>
      </c>
      <c r="G5" s="3">
        <f>Table1[[#This Row],[Sales]]-Table1[[#This Row],[Target]]</f>
        <v>1000</v>
      </c>
    </row>
    <row r="6" spans="1:7" x14ac:dyDescent="0.25">
      <c r="A6" s="3" t="s">
        <v>16</v>
      </c>
      <c r="B6" s="3" t="s">
        <v>9</v>
      </c>
      <c r="C6" s="3" t="s">
        <v>17</v>
      </c>
      <c r="D6" s="4">
        <v>7000</v>
      </c>
      <c r="E6" s="4">
        <v>10000</v>
      </c>
      <c r="F6" s="6">
        <f>Table1[[#This Row],[Sales]]/Table1[[#This Row],[Target]]</f>
        <v>0.7</v>
      </c>
      <c r="G6" s="3">
        <f>Table1[[#This Row],[Sales]]-Table1[[#This Row],[Target]]</f>
        <v>-3000</v>
      </c>
    </row>
    <row r="7" spans="1:7" x14ac:dyDescent="0.25">
      <c r="A7" s="3" t="s">
        <v>18</v>
      </c>
      <c r="B7" s="3" t="s">
        <v>12</v>
      </c>
      <c r="C7" s="3" t="s">
        <v>19</v>
      </c>
      <c r="D7" s="4">
        <v>13000</v>
      </c>
      <c r="E7" s="4">
        <v>12000</v>
      </c>
      <c r="F7" s="6">
        <f>Table1[[#This Row],[Sales]]/Table1[[#This Row],[Target]]</f>
        <v>1.0833333333333333</v>
      </c>
      <c r="G7" s="3">
        <f>Table1[[#This Row],[Sales]]-Table1[[#This Row],[Target]]</f>
        <v>1000</v>
      </c>
    </row>
    <row r="9" spans="1:7" x14ac:dyDescent="0.25">
      <c r="D9" s="8" t="s">
        <v>24</v>
      </c>
      <c r="E9" s="8" t="s">
        <v>25</v>
      </c>
      <c r="F9" s="9" t="s">
        <v>22</v>
      </c>
      <c r="G9" s="8" t="s">
        <v>27</v>
      </c>
    </row>
    <row r="10" spans="1:7" x14ac:dyDescent="0.25">
      <c r="D10" s="10">
        <f>SUM(Table1[Sales])</f>
        <v>60000</v>
      </c>
      <c r="E10" s="10">
        <f>SUM(Table1[Target])</f>
        <v>62000</v>
      </c>
      <c r="F10" s="11">
        <f>MAX(Table1[Achievement_%])</f>
        <v>1.2</v>
      </c>
      <c r="G10" s="10">
        <f>D10-E10</f>
        <v>-2000</v>
      </c>
    </row>
    <row r="11" spans="1:7" x14ac:dyDescent="0.25">
      <c r="D11" s="12"/>
      <c r="E11" s="12"/>
      <c r="F11" s="13"/>
      <c r="G11" s="12"/>
    </row>
    <row r="12" spans="1:7" x14ac:dyDescent="0.25">
      <c r="D12" s="8" t="s">
        <v>26</v>
      </c>
      <c r="E12" s="12"/>
      <c r="F12" s="9" t="s">
        <v>23</v>
      </c>
      <c r="G12" s="12"/>
    </row>
    <row r="13" spans="1:7" x14ac:dyDescent="0.25">
      <c r="D13" s="14">
        <f>D10/E10</f>
        <v>0.967741935483871</v>
      </c>
      <c r="E13" s="12"/>
      <c r="F13" s="11">
        <f>MIN(Table1[Achievement_%])</f>
        <v>0.7</v>
      </c>
      <c r="G13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2026-09-30T14:13:04Z</dcterms:created>
  <dcterms:modified xsi:type="dcterms:W3CDTF">2026-09-30T14:31:44Z</dcterms:modified>
</cp:coreProperties>
</file>