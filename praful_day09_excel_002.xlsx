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9\"/>
    </mc:Choice>
  </mc:AlternateContent>
  <bookViews>
    <workbookView xWindow="0" yWindow="0" windowWidth="2049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5" i="1" l="1"/>
  <c r="I2" i="1"/>
  <c r="E6" i="1"/>
  <c r="F6" i="1" s="1"/>
  <c r="D6" i="1"/>
  <c r="E5" i="1"/>
  <c r="F5" i="1" s="1"/>
  <c r="D5" i="1"/>
  <c r="E4" i="1"/>
  <c r="F4" i="1" s="1"/>
  <c r="D4" i="1"/>
  <c r="F3" i="1"/>
  <c r="E3" i="1"/>
  <c r="D3" i="1"/>
  <c r="E2" i="1"/>
  <c r="F2" i="1" s="1"/>
  <c r="D2" i="1"/>
</calcChain>
</file>

<file path=xl/sharedStrings.xml><?xml version="1.0" encoding="utf-8"?>
<sst xmlns="http://schemas.openxmlformats.org/spreadsheetml/2006/main" count="32" uniqueCount="23">
  <si>
    <t>Booking ID</t>
  </si>
  <si>
    <t>Booking Date</t>
  </si>
  <si>
    <t>Revenue</t>
  </si>
  <si>
    <t>Year</t>
  </si>
  <si>
    <t>Month</t>
  </si>
  <si>
    <t>Quarter</t>
  </si>
  <si>
    <t>BK101</t>
  </si>
  <si>
    <t>BK102</t>
  </si>
  <si>
    <t>BK103</t>
  </si>
  <si>
    <t>BK104</t>
  </si>
  <si>
    <t>BK105</t>
  </si>
  <si>
    <t>INDEX()</t>
  </si>
  <si>
    <t>Match()</t>
  </si>
  <si>
    <t>Booking</t>
  </si>
  <si>
    <t>Employee</t>
  </si>
  <si>
    <t>Department</t>
  </si>
  <si>
    <t>Salary</t>
  </si>
  <si>
    <t>Rahul</t>
  </si>
  <si>
    <t>Sales</t>
  </si>
  <si>
    <t>Priya</t>
  </si>
  <si>
    <t>Finance</t>
  </si>
  <si>
    <t>Amit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</si>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</sst>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0" fillId="0" borderId="0" xfId="0" applyFill="1" applyBorder="1" applyAlignment="1">
      <alignment vertical="center" wrapText="1"/>
    </xf>
    <xf numFmtId="3" fontId="0" fillId="0" borderId="0" xfId="0" applyNumberFormat="1" applyFill="1" applyBorder="1" applyAlignment="1">
      <alignment vertical="center" wrapText="1"/>
    </xf>
  </cellXfs>
  <cellStyles count="1">
    <cellStyle name="Normal" xfId="0" builtinId="0"/>
  </cellStyles>
  <dxfs count="7"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20" formatCode="dd/mmm/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6" totalsRowShown="0" headerRowDxfId="6">
  <tableColumns count="6">
    <tableColumn id="1" name="Booking ID" dataDxfId="5"/>
    <tableColumn id="2" name="Booking Date" dataDxfId="4"/>
    <tableColumn id="3" name="Revenue" dataDxfId="3"/>
    <tableColumn id="4" name="Year" dataDxfId="2">
      <calculatedColumnFormula>YEAR(Table1[[#This Row],[Booking Date]])</calculatedColumnFormula>
    </tableColumn>
    <tableColumn id="5" name="Month" dataDxfId="1">
      <calculatedColumnFormula>MONTH(Table1[[#This Row],[Booking Date]])</calculatedColumnFormula>
    </tableColumn>
    <tableColumn id="6" name="Quarter" dataDxfId="0">
      <calculatedColumnFormula>"Q"&amp;ROUNDUP(Table1[[#This Row],[Month]]/3, 0)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H14" sqref="H14"/>
    </sheetView>
  </sheetViews>
  <sheetFormatPr defaultRowHeight="15" x14ac:dyDescent="0.25"/>
  <cols>
    <col min="1" max="1" width="10.42578125" bestFit="1" customWidth="1"/>
    <col min="2" max="2" width="12.7109375" bestFit="1" customWidth="1"/>
    <col min="3" max="3" width="8.85546875" bestFit="1" customWidth="1"/>
    <col min="4" max="4" width="5" bestFit="1" customWidth="1"/>
    <col min="5" max="5" width="7" bestFit="1" customWidth="1"/>
    <col min="6" max="6" width="7.85546875" bestFit="1" customWidth="1"/>
    <col min="8" max="8" width="9.85546875" bestFit="1" customWidth="1"/>
    <col min="9" max="9" width="11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6" t="s">
        <v>11</v>
      </c>
    </row>
    <row r="2" spans="1:10" x14ac:dyDescent="0.25">
      <c r="A2" s="2" t="s">
        <v>6</v>
      </c>
      <c r="B2" s="3">
        <v>45672</v>
      </c>
      <c r="C2" s="4">
        <v>12000</v>
      </c>
      <c r="D2" s="5">
        <f>YEAR(Table1[[#This Row],[Booking Date]])</f>
        <v>2025</v>
      </c>
      <c r="E2" s="5">
        <f>MONTH(Table1[[#This Row],[Booking Date]])</f>
        <v>1</v>
      </c>
      <c r="F2" s="5" t="str">
        <f>"Q"&amp;ROUNDUP(Table1[[#This Row],[Month]]/3, 0)</f>
        <v>Q1</v>
      </c>
      <c r="I2" s="7">
        <f>INDEX(Table1[], 3, 3)</f>
        <v>15000</v>
      </c>
    </row>
    <row r="3" spans="1:10" x14ac:dyDescent="0.25">
      <c r="A3" s="2" t="s">
        <v>7</v>
      </c>
      <c r="B3" s="3">
        <v>45767</v>
      </c>
      <c r="C3" s="4">
        <v>18000</v>
      </c>
      <c r="D3" s="5">
        <f>YEAR(Table1[[#This Row],[Booking Date]])</f>
        <v>2025</v>
      </c>
      <c r="E3" s="5">
        <f>MONTH(Table1[[#This Row],[Booking Date]])</f>
        <v>4</v>
      </c>
      <c r="F3" s="5" t="str">
        <f>"Q"&amp;ROUNDUP(Table1[[#This Row],[Month]]/3, 0)</f>
        <v>Q2</v>
      </c>
    </row>
    <row r="4" spans="1:10" x14ac:dyDescent="0.25">
      <c r="A4" s="2" t="s">
        <v>8</v>
      </c>
      <c r="B4" s="3">
        <v>45879</v>
      </c>
      <c r="C4" s="4">
        <v>15000</v>
      </c>
      <c r="D4" s="5">
        <f>YEAR(Table1[[#This Row],[Booking Date]])</f>
        <v>2025</v>
      </c>
      <c r="E4" s="5">
        <f>MONTH(Table1[[#This Row],[Booking Date]])</f>
        <v>8</v>
      </c>
      <c r="F4" s="5" t="str">
        <f>"Q"&amp;ROUNDUP(Table1[[#This Row],[Month]]/3, 0)</f>
        <v>Q3</v>
      </c>
      <c r="H4" s="6" t="s">
        <v>13</v>
      </c>
      <c r="I4" s="6" t="s">
        <v>12</v>
      </c>
    </row>
    <row r="5" spans="1:10" x14ac:dyDescent="0.25">
      <c r="A5" s="2" t="s">
        <v>9</v>
      </c>
      <c r="B5" s="3">
        <v>45966</v>
      </c>
      <c r="C5" s="4">
        <v>22000</v>
      </c>
      <c r="D5" s="5">
        <f>YEAR(Table1[[#This Row],[Booking Date]])</f>
        <v>2025</v>
      </c>
      <c r="E5" s="5">
        <f>MONTH(Table1[[#This Row],[Booking Date]])</f>
        <v>11</v>
      </c>
      <c r="F5" s="5" t="str">
        <f>"Q"&amp;ROUNDUP(Table1[[#This Row],[Month]]/3, 0)</f>
        <v>Q4</v>
      </c>
      <c r="H5" s="7" t="s">
        <v>8</v>
      </c>
      <c r="I5" s="7">
        <f>MATCH(H5, Table1[Booking ID], 0)</f>
        <v>3</v>
      </c>
    </row>
    <row r="6" spans="1:10" x14ac:dyDescent="0.25">
      <c r="A6" s="2" t="s">
        <v>10</v>
      </c>
      <c r="B6" s="3">
        <v>46065</v>
      </c>
      <c r="C6" s="4">
        <v>25000</v>
      </c>
      <c r="D6" s="5">
        <f>YEAR(Table1[[#This Row],[Booking Date]])</f>
        <v>2026</v>
      </c>
      <c r="E6" s="5">
        <f>MONTH(Table1[[#This Row],[Booking Date]])</f>
        <v>2</v>
      </c>
      <c r="F6" s="5" t="str">
        <f>"Q"&amp;ROUNDUP(Table1[[#This Row],[Month]]/3, 0)</f>
        <v>Q1</v>
      </c>
    </row>
    <row r="9" spans="1:10" x14ac:dyDescent="0.25">
      <c r="A9" s="8" t="s">
        <v>14</v>
      </c>
      <c r="B9" s="8" t="s">
        <v>15</v>
      </c>
      <c r="C9" s="8" t="s">
        <v>16</v>
      </c>
      <c r="H9" s="12" t="s">
        <v>14</v>
      </c>
      <c r="I9" s="12" t="s">
        <v>15</v>
      </c>
      <c r="J9" t="s">
        <v>16</v>
      </c>
    </row>
    <row r="10" spans="1:10" x14ac:dyDescent="0.25">
      <c r="A10" s="9" t="s">
        <v>17</v>
      </c>
      <c r="B10" s="9" t="s">
        <v>18</v>
      </c>
      <c r="C10" s="10">
        <v>35000</v>
      </c>
      <c r="H10" s="11" t="s">
        <v>21</v>
      </c>
      <c r="I10" s="11" t="str">
        <f>INDEX(B10:B12,MATCH(H10,A10:A12,0))</f>
        <v>Marketing</v>
      </c>
    </row>
    <row r="11" spans="1:10" x14ac:dyDescent="0.25">
      <c r="A11" s="9" t="s">
        <v>19</v>
      </c>
      <c r="B11" s="9" t="s">
        <v>20</v>
      </c>
      <c r="C11" s="10">
        <v>42000</v>
      </c>
      <c r="H11" t="s">
        <v>17</v>
      </c>
      <c r="I11" t="s">
        <v>22</v>
      </c>
    </row>
    <row r="12" spans="1:10" x14ac:dyDescent="0.25">
      <c r="A12" s="9" t="s">
        <v>21</v>
      </c>
      <c r="B12" s="9" t="s">
        <v>22</v>
      </c>
      <c r="C12" s="10">
        <v>38000</v>
      </c>
    </row>
    <row r="13" spans="1:10" x14ac:dyDescent="0.25">
      <c r="A13" s="13" t="s">
        <v>17</v>
      </c>
      <c r="B13" s="13" t="s">
        <v>22</v>
      </c>
      <c r="C13" s="14">
        <v>45000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2026-10-10T08:18:21Z</dcterms:created>
  <dcterms:modified xsi:type="dcterms:W3CDTF">2026-10-10T10:54:53Z</dcterms:modified>
</cp:coreProperties>
</file>